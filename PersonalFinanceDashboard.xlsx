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AW_DATA" sheetId="1" state="visible" r:id="rId3"/>
    <sheet name="MONTHLY_SUMMARY" sheetId="2" state="visible" r:id="rId4"/>
    <sheet name="ANNUAL_SUMMARY" sheetId="3" state="visible" r:id="rId5"/>
    <sheet name="CATEGORY_ANALYSIS" sheetId="4" state="visible" r:id="rId6"/>
    <sheet name="SAVINGS_TRACKER" sheetId="5" state="visible" r:id="rId7"/>
    <sheet name="DASHBOARD" sheetId="6" state="visible" r:id="rId8"/>
    <sheet name="INSTRU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<sst xmlns="http://schemas.openxmlformats.org/spreadsheetml/2006/main" count="1632" uniqueCount="515">
  <si>
    <t xml:space="preserve">Date</t>
  </si>
  <si>
    <t xml:space="preserve">Month</t>
  </si>
  <si>
    <t xml:space="preserve">Year</t>
  </si>
  <si>
    <t xml:space="preserve">Type</t>
  </si>
  <si>
    <t xml:space="preserve">Category</t>
  </si>
  <si>
    <t xml:space="preserve">Sub-Category</t>
  </si>
  <si>
    <t xml:space="preserve">Description</t>
  </si>
  <si>
    <t xml:space="preserve">Amount</t>
  </si>
  <si>
    <t xml:space="preserve">Account</t>
  </si>
  <si>
    <t xml:space="preserve">Notes</t>
  </si>
  <si>
    <t xml:space="preserve">2023-01-01</t>
  </si>
  <si>
    <t xml:space="preserve">Jan</t>
  </si>
  <si>
    <t xml:space="preserve">Income</t>
  </si>
  <si>
    <t xml:space="preserve">Salary</t>
  </si>
  <si>
    <t xml:space="preserve">Monthly Salary</t>
  </si>
  <si>
    <t xml:space="preserve">Monthly Salary Credit</t>
  </si>
  <si>
    <t xml:space="preserve">HDFC Savings</t>
  </si>
  <si>
    <t xml:space="preserve">2023-01-10</t>
  </si>
  <si>
    <t xml:space="preserve">Freelance</t>
  </si>
  <si>
    <t xml:space="preserve">Project Payment</t>
  </si>
  <si>
    <t xml:space="preserve">Freelance Project</t>
  </si>
  <si>
    <t xml:space="preserve">2023-01-07</t>
  </si>
  <si>
    <t xml:space="preserve">Savings</t>
  </si>
  <si>
    <t xml:space="preserve">Investments</t>
  </si>
  <si>
    <t xml:space="preserve">Mutual Fund SIP</t>
  </si>
  <si>
    <t xml:space="preserve">Zerodha SIP - Nifty 50</t>
  </si>
  <si>
    <t xml:space="preserve">Zerodha</t>
  </si>
  <si>
    <t xml:space="preserve">2023-01-06</t>
  </si>
  <si>
    <t xml:space="preserve">Expense</t>
  </si>
  <si>
    <t xml:space="preserve">Housing</t>
  </si>
  <si>
    <t xml:space="preserve">Electricity</t>
  </si>
  <si>
    <t xml:space="preserve">Electricity - Jan 2023</t>
  </si>
  <si>
    <t xml:space="preserve">2023-01-15</t>
  </si>
  <si>
    <t xml:space="preserve">Food</t>
  </si>
  <si>
    <t xml:space="preserve">Groceries</t>
  </si>
  <si>
    <t xml:space="preserve">Groceries - Jan 2023</t>
  </si>
  <si>
    <t xml:space="preserve">2023-01-24</t>
  </si>
  <si>
    <t xml:space="preserve">Shopping</t>
  </si>
  <si>
    <t xml:space="preserve">Clothing</t>
  </si>
  <si>
    <t xml:space="preserve">Clothing - Jan 2023</t>
  </si>
  <si>
    <t xml:space="preserve">Entertainment</t>
  </si>
  <si>
    <t xml:space="preserve">Games</t>
  </si>
  <si>
    <t xml:space="preserve">Games - Jan 2023</t>
  </si>
  <si>
    <t xml:space="preserve">Education</t>
  </si>
  <si>
    <t xml:space="preserve">Books</t>
  </si>
  <si>
    <t xml:space="preserve">Books - Jan 2023</t>
  </si>
  <si>
    <t xml:space="preserve">ICICI CC</t>
  </si>
  <si>
    <t xml:space="preserve">2023-02-01</t>
  </si>
  <si>
    <t xml:space="preserve">Feb</t>
  </si>
  <si>
    <t xml:space="preserve">2023-02-07</t>
  </si>
  <si>
    <t xml:space="preserve">2023-02-14</t>
  </si>
  <si>
    <t xml:space="preserve">Rent</t>
  </si>
  <si>
    <t xml:space="preserve">Rent - Feb 2023</t>
  </si>
  <si>
    <t xml:space="preserve">2023-02-10</t>
  </si>
  <si>
    <t xml:space="preserve">Coffee</t>
  </si>
  <si>
    <t xml:space="preserve">Coffee - Feb 2023</t>
  </si>
  <si>
    <t xml:space="preserve">2023-02-04</t>
  </si>
  <si>
    <t xml:space="preserve">Transport</t>
  </si>
  <si>
    <t xml:space="preserve">Fuel</t>
  </si>
  <si>
    <t xml:space="preserve">Fuel - Feb 2023</t>
  </si>
  <si>
    <t xml:space="preserve">2023-02-24</t>
  </si>
  <si>
    <t xml:space="preserve">Books - Feb 2023</t>
  </si>
  <si>
    <t xml:space="preserve">2023-03-01</t>
  </si>
  <si>
    <t xml:space="preserve">Mar</t>
  </si>
  <si>
    <t xml:space="preserve">2023-03-05</t>
  </si>
  <si>
    <t xml:space="preserve">Bonus</t>
  </si>
  <si>
    <t xml:space="preserve">Performance Bonus</t>
  </si>
  <si>
    <t xml:space="preserve">2023-03-10</t>
  </si>
  <si>
    <t xml:space="preserve">2023-03-07</t>
  </si>
  <si>
    <t xml:space="preserve">2023-03-08</t>
  </si>
  <si>
    <t xml:space="preserve">Emergency</t>
  </si>
  <si>
    <t xml:space="preserve">Emergency Fund</t>
  </si>
  <si>
    <t xml:space="preserve">Emergency Fund Transfer</t>
  </si>
  <si>
    <t xml:space="preserve">SBI Savings</t>
  </si>
  <si>
    <t xml:space="preserve">Internet</t>
  </si>
  <si>
    <t xml:space="preserve">Internet - Mar 2023</t>
  </si>
  <si>
    <t xml:space="preserve">2023-03-23</t>
  </si>
  <si>
    <t xml:space="preserve">Coffee - Mar 2023</t>
  </si>
  <si>
    <t xml:space="preserve">2023-03-25</t>
  </si>
  <si>
    <t xml:space="preserve">Metro</t>
  </si>
  <si>
    <t xml:space="preserve">Metro - Mar 2023</t>
  </si>
  <si>
    <t xml:space="preserve">2023-03-28</t>
  </si>
  <si>
    <t xml:space="preserve">Electronics</t>
  </si>
  <si>
    <t xml:space="preserve">Electronics - Mar 2023</t>
  </si>
  <si>
    <t xml:space="preserve">2023-04-01</t>
  </si>
  <si>
    <t xml:space="preserve">Apr</t>
  </si>
  <si>
    <t xml:space="preserve">2023-04-07</t>
  </si>
  <si>
    <t xml:space="preserve">2023-04-22</t>
  </si>
  <si>
    <t xml:space="preserve">Coffee - Apr 2023</t>
  </si>
  <si>
    <t xml:space="preserve">Cash</t>
  </si>
  <si>
    <t xml:space="preserve">2023-04-10</t>
  </si>
  <si>
    <t xml:space="preserve">Cab</t>
  </si>
  <si>
    <t xml:space="preserve">Cab - Apr 2023</t>
  </si>
  <si>
    <t xml:space="preserve">2023-04-20</t>
  </si>
  <si>
    <t xml:space="preserve">Books - Apr 2023</t>
  </si>
  <si>
    <t xml:space="preserve">2023-04-17</t>
  </si>
  <si>
    <t xml:space="preserve">Streaming</t>
  </si>
  <si>
    <t xml:space="preserve">Streaming - Apr 2023</t>
  </si>
  <si>
    <t xml:space="preserve">Course Fee</t>
  </si>
  <si>
    <t xml:space="preserve">Course Fee - Apr 2023</t>
  </si>
  <si>
    <t xml:space="preserve">2023-04-04</t>
  </si>
  <si>
    <t xml:space="preserve">Others</t>
  </si>
  <si>
    <t xml:space="preserve">Donations</t>
  </si>
  <si>
    <t xml:space="preserve">Donations - Apr 2023</t>
  </si>
  <si>
    <t xml:space="preserve">2023-05-01</t>
  </si>
  <si>
    <t xml:space="preserve">May</t>
  </si>
  <si>
    <t xml:space="preserve">2023-05-07</t>
  </si>
  <si>
    <t xml:space="preserve">2023-05-19</t>
  </si>
  <si>
    <t xml:space="preserve">Maintenance</t>
  </si>
  <si>
    <t xml:space="preserve">Maintenance - May 2023</t>
  </si>
  <si>
    <t xml:space="preserve">Groceries - May 2023</t>
  </si>
  <si>
    <t xml:space="preserve">2023-05-11</t>
  </si>
  <si>
    <t xml:space="preserve">Auto</t>
  </si>
  <si>
    <t xml:space="preserve">Auto - May 2023</t>
  </si>
  <si>
    <t xml:space="preserve">2023-05-26</t>
  </si>
  <si>
    <t xml:space="preserve">Events</t>
  </si>
  <si>
    <t xml:space="preserve">Events - May 2023</t>
  </si>
  <si>
    <t xml:space="preserve">2023-05-22</t>
  </si>
  <si>
    <t xml:space="preserve">Course Fee - May 2023</t>
  </si>
  <si>
    <t xml:space="preserve">2023-05-13</t>
  </si>
  <si>
    <t xml:space="preserve">Gifts</t>
  </si>
  <si>
    <t xml:space="preserve">Gifts - May 2023</t>
  </si>
  <si>
    <t xml:space="preserve">2023-06-01</t>
  </si>
  <si>
    <t xml:space="preserve">Jun</t>
  </si>
  <si>
    <t xml:space="preserve">2023-06-07</t>
  </si>
  <si>
    <t xml:space="preserve">2023-06-08</t>
  </si>
  <si>
    <t xml:space="preserve">2023-06-21</t>
  </si>
  <si>
    <t xml:space="preserve">Maintenance - Jun 2023</t>
  </si>
  <si>
    <t xml:space="preserve">2023-06-28</t>
  </si>
  <si>
    <t xml:space="preserve">Groceries - Jun 2023</t>
  </si>
  <si>
    <t xml:space="preserve">2023-06-25</t>
  </si>
  <si>
    <t xml:space="preserve">Clothing - Jun 2023</t>
  </si>
  <si>
    <t xml:space="preserve">2023-06-23</t>
  </si>
  <si>
    <t xml:space="preserve">Streaming - Jun 2023</t>
  </si>
  <si>
    <t xml:space="preserve">2023-06-18</t>
  </si>
  <si>
    <t xml:space="preserve">Books - Jun 2023</t>
  </si>
  <si>
    <t xml:space="preserve">2023-06-26</t>
  </si>
  <si>
    <t xml:space="preserve">Gifts - Jun 2023</t>
  </si>
  <si>
    <t xml:space="preserve">2023-07-01</t>
  </si>
  <si>
    <t xml:space="preserve">Jul</t>
  </si>
  <si>
    <t xml:space="preserve">2023-07-10</t>
  </si>
  <si>
    <t xml:space="preserve">2023-07-07</t>
  </si>
  <si>
    <t xml:space="preserve">2023-07-18</t>
  </si>
  <si>
    <t xml:space="preserve">Water</t>
  </si>
  <si>
    <t xml:space="preserve">Water - Jul 2023</t>
  </si>
  <si>
    <t xml:space="preserve">2023-07-02</t>
  </si>
  <si>
    <t xml:space="preserve">Electronics - Jul 2023</t>
  </si>
  <si>
    <t xml:space="preserve">2023-07-04</t>
  </si>
  <si>
    <t xml:space="preserve">Movies</t>
  </si>
  <si>
    <t xml:space="preserve">Movies - Jul 2023</t>
  </si>
  <si>
    <t xml:space="preserve">2023-07-09</t>
  </si>
  <si>
    <t xml:space="preserve">Course Fee - Jul 2023</t>
  </si>
  <si>
    <t xml:space="preserve">2023-07-06</t>
  </si>
  <si>
    <t xml:space="preserve">Gifts - Jul 2023</t>
  </si>
  <si>
    <t xml:space="preserve">2023-08-01</t>
  </si>
  <si>
    <t xml:space="preserve">Aug</t>
  </si>
  <si>
    <t xml:space="preserve">2023-08-10</t>
  </si>
  <si>
    <t xml:space="preserve">2023-08-07</t>
  </si>
  <si>
    <t xml:space="preserve">2023-08-05</t>
  </si>
  <si>
    <t xml:space="preserve">Internet - Aug 2023</t>
  </si>
  <si>
    <t xml:space="preserve">2023-08-15</t>
  </si>
  <si>
    <t xml:space="preserve">Coffee - Aug 2023</t>
  </si>
  <si>
    <t xml:space="preserve">2023-08-22</t>
  </si>
  <si>
    <t xml:space="preserve">Fuel - Aug 2023</t>
  </si>
  <si>
    <t xml:space="preserve">2023-08-08</t>
  </si>
  <si>
    <t xml:space="preserve">Clothing - Aug 2023</t>
  </si>
  <si>
    <t xml:space="preserve">Streaming - Aug 2023</t>
  </si>
  <si>
    <t xml:space="preserve">2023-08-27</t>
  </si>
  <si>
    <t xml:space="preserve">Course Fee - Aug 2023</t>
  </si>
  <si>
    <t xml:space="preserve">2023-09-01</t>
  </si>
  <si>
    <t xml:space="preserve">Sep</t>
  </si>
  <si>
    <t xml:space="preserve">2023-09-05</t>
  </si>
  <si>
    <t xml:space="preserve">2023-09-10</t>
  </si>
  <si>
    <t xml:space="preserve">2023-09-07</t>
  </si>
  <si>
    <t xml:space="preserve">2023-09-08</t>
  </si>
  <si>
    <t xml:space="preserve">2023-09-15</t>
  </si>
  <si>
    <t xml:space="preserve">Electricity - Sep 2023</t>
  </si>
  <si>
    <t xml:space="preserve">Delivery</t>
  </si>
  <si>
    <t xml:space="preserve">Delivery - Sep 2023</t>
  </si>
  <si>
    <t xml:space="preserve">Health</t>
  </si>
  <si>
    <t xml:space="preserve">Insurance</t>
  </si>
  <si>
    <t xml:space="preserve">Insurance - Sep 2023</t>
  </si>
  <si>
    <t xml:space="preserve">Personal Care</t>
  </si>
  <si>
    <t xml:space="preserve">Personal Care - Sep 2023</t>
  </si>
  <si>
    <t xml:space="preserve">2023-09-03</t>
  </si>
  <si>
    <t xml:space="preserve">Miscellaneous</t>
  </si>
  <si>
    <t xml:space="preserve">Miscellaneous - Sep 2023</t>
  </si>
  <si>
    <t xml:space="preserve">2023-10-01</t>
  </si>
  <si>
    <t xml:space="preserve">Oct</t>
  </si>
  <si>
    <t xml:space="preserve">2023-10-10</t>
  </si>
  <si>
    <t xml:space="preserve">2023-10-07</t>
  </si>
  <si>
    <t xml:space="preserve">2023-10-03</t>
  </si>
  <si>
    <t xml:space="preserve">Maintenance - Oct 2023</t>
  </si>
  <si>
    <t xml:space="preserve">2023-10-05</t>
  </si>
  <si>
    <t xml:space="preserve">Pharmacy</t>
  </si>
  <si>
    <t xml:space="preserve">Pharmacy - Oct 2023</t>
  </si>
  <si>
    <t xml:space="preserve">2023-10-23</t>
  </si>
  <si>
    <t xml:space="preserve">Movies - Oct 2023</t>
  </si>
  <si>
    <t xml:space="preserve">2023-10-08</t>
  </si>
  <si>
    <t xml:space="preserve">Certification</t>
  </si>
  <si>
    <t xml:space="preserve">Certification - Oct 2023</t>
  </si>
  <si>
    <t xml:space="preserve">2023-11-01</t>
  </si>
  <si>
    <t xml:space="preserve">Nov</t>
  </si>
  <si>
    <t xml:space="preserve">2023-11-07</t>
  </si>
  <si>
    <t xml:space="preserve">2023-11-12</t>
  </si>
  <si>
    <t xml:space="preserve">Water - Nov 2023</t>
  </si>
  <si>
    <t xml:space="preserve">2023-11-19</t>
  </si>
  <si>
    <t xml:space="preserve">Fuel - Nov 2023</t>
  </si>
  <si>
    <t xml:space="preserve">2023-11-04</t>
  </si>
  <si>
    <t xml:space="preserve">Pharmacy - Nov 2023</t>
  </si>
  <si>
    <t xml:space="preserve">2023-11-28</t>
  </si>
  <si>
    <t xml:space="preserve">Electronics - Nov 2023</t>
  </si>
  <si>
    <t xml:space="preserve">Movies - Nov 2023</t>
  </si>
  <si>
    <t xml:space="preserve">2023-11-05</t>
  </si>
  <si>
    <t xml:space="preserve">Gifts - Nov 2023</t>
  </si>
  <si>
    <t xml:space="preserve">2023-12-01</t>
  </si>
  <si>
    <t xml:space="preserve">Dec</t>
  </si>
  <si>
    <t xml:space="preserve">2023-12-10</t>
  </si>
  <si>
    <t xml:space="preserve">2023-12-07</t>
  </si>
  <si>
    <t xml:space="preserve">2023-12-08</t>
  </si>
  <si>
    <t xml:space="preserve">2023-12-23</t>
  </si>
  <si>
    <t xml:space="preserve">Coffee - Dec 2023</t>
  </si>
  <si>
    <t xml:space="preserve">2023-12-04</t>
  </si>
  <si>
    <t xml:space="preserve">Auto - Dec 2023</t>
  </si>
  <si>
    <t xml:space="preserve">2023-12-12</t>
  </si>
  <si>
    <t xml:space="preserve">Doctor</t>
  </si>
  <si>
    <t xml:space="preserve">Doctor - Dec 2023</t>
  </si>
  <si>
    <t xml:space="preserve">2023-12-25</t>
  </si>
  <si>
    <t xml:space="preserve">Books - Dec 2023</t>
  </si>
  <si>
    <t xml:space="preserve">2023-12-02</t>
  </si>
  <si>
    <t xml:space="preserve">Games - Dec 2023</t>
  </si>
  <si>
    <t xml:space="preserve">2023-12-03</t>
  </si>
  <si>
    <t xml:space="preserve">Gifts - Dec 2023</t>
  </si>
  <si>
    <t xml:space="preserve">2024-01-01</t>
  </si>
  <si>
    <t xml:space="preserve">2024-01-10</t>
  </si>
  <si>
    <t xml:space="preserve">2024-01-07</t>
  </si>
  <si>
    <t xml:space="preserve">2024-01-13</t>
  </si>
  <si>
    <t xml:space="preserve">Rent - Jan 2024</t>
  </si>
  <si>
    <t xml:space="preserve">2024-01-09</t>
  </si>
  <si>
    <t xml:space="preserve">Dining Out</t>
  </si>
  <si>
    <t xml:space="preserve">Dining Out - Jan 2024</t>
  </si>
  <si>
    <t xml:space="preserve">2024-01-25</t>
  </si>
  <si>
    <t xml:space="preserve">Cab - Jan 2024</t>
  </si>
  <si>
    <t xml:space="preserve">2024-01-27</t>
  </si>
  <si>
    <t xml:space="preserve">Pharmacy - Jan 2024</t>
  </si>
  <si>
    <t xml:space="preserve">Clothing - Jan 2024</t>
  </si>
  <si>
    <t xml:space="preserve">Games - Jan 2024</t>
  </si>
  <si>
    <t xml:space="preserve">2024-01-03</t>
  </si>
  <si>
    <t xml:space="preserve">Miscellaneous - Jan 2024</t>
  </si>
  <si>
    <t xml:space="preserve">2024-02-01</t>
  </si>
  <si>
    <t xml:space="preserve">2024-02-07</t>
  </si>
  <si>
    <t xml:space="preserve">2024-02-11</t>
  </si>
  <si>
    <t xml:space="preserve">Internet - Feb 2024</t>
  </si>
  <si>
    <t xml:space="preserve">2024-02-10</t>
  </si>
  <si>
    <t xml:space="preserve">Cab - Feb 2024</t>
  </si>
  <si>
    <t xml:space="preserve">2024-02-22</t>
  </si>
  <si>
    <t xml:space="preserve">Gym</t>
  </si>
  <si>
    <t xml:space="preserve">Gym - Feb 2024</t>
  </si>
  <si>
    <t xml:space="preserve">2024-02-05</t>
  </si>
  <si>
    <t xml:space="preserve">Books - Feb 2024</t>
  </si>
  <si>
    <t xml:space="preserve">Certification - Feb 2024</t>
  </si>
  <si>
    <t xml:space="preserve">2024-02-21</t>
  </si>
  <si>
    <t xml:space="preserve">Travel</t>
  </si>
  <si>
    <t xml:space="preserve">Travel - Feb 2024</t>
  </si>
  <si>
    <t xml:space="preserve">2024-03-01</t>
  </si>
  <si>
    <t xml:space="preserve">2024-03-05</t>
  </si>
  <si>
    <t xml:space="preserve">2024-03-07</t>
  </si>
  <si>
    <t xml:space="preserve">2024-03-08</t>
  </si>
  <si>
    <t xml:space="preserve">2024-03-24</t>
  </si>
  <si>
    <t xml:space="preserve">Water - Mar 2024</t>
  </si>
  <si>
    <t xml:space="preserve">2024-03-15</t>
  </si>
  <si>
    <t xml:space="preserve">Metro - Mar 2024</t>
  </si>
  <si>
    <t xml:space="preserve">2024-03-23</t>
  </si>
  <si>
    <t xml:space="preserve">Gym - Mar 2024</t>
  </si>
  <si>
    <t xml:space="preserve">2024-03-11</t>
  </si>
  <si>
    <t xml:space="preserve">Books - Mar 2024</t>
  </si>
  <si>
    <t xml:space="preserve">2024-03-20</t>
  </si>
  <si>
    <t xml:space="preserve">Gifts - Mar 2024</t>
  </si>
  <si>
    <t xml:space="preserve">2024-04-01</t>
  </si>
  <si>
    <t xml:space="preserve">2024-04-07</t>
  </si>
  <si>
    <t xml:space="preserve">2024-04-08</t>
  </si>
  <si>
    <t xml:space="preserve">Water - Apr 2024</t>
  </si>
  <si>
    <t xml:space="preserve">2024-04-16</t>
  </si>
  <si>
    <t xml:space="preserve">Coffee - Apr 2024</t>
  </si>
  <si>
    <t xml:space="preserve">2024-04-23</t>
  </si>
  <si>
    <t xml:space="preserve">Cab - Apr 2024</t>
  </si>
  <si>
    <t xml:space="preserve">2024-04-28</t>
  </si>
  <si>
    <t xml:space="preserve">Books - Apr 2024</t>
  </si>
  <si>
    <t xml:space="preserve">2024-04-06</t>
  </si>
  <si>
    <t xml:space="preserve">Streaming - Apr 2024</t>
  </si>
  <si>
    <t xml:space="preserve">2024-04-15</t>
  </si>
  <si>
    <t xml:space="preserve">Miscellaneous - Apr 2024</t>
  </si>
  <si>
    <t xml:space="preserve">2024-05-01</t>
  </si>
  <si>
    <t xml:space="preserve">2024-05-07</t>
  </si>
  <si>
    <t xml:space="preserve">2024-05-09</t>
  </si>
  <si>
    <t xml:space="preserve">Internet - May 2024</t>
  </si>
  <si>
    <t xml:space="preserve">2024-05-26</t>
  </si>
  <si>
    <t xml:space="preserve">Groceries - May 2024</t>
  </si>
  <si>
    <t xml:space="preserve">2024-05-27</t>
  </si>
  <si>
    <t xml:space="preserve">Metro - May 2024</t>
  </si>
  <si>
    <t xml:space="preserve">2024-05-16</t>
  </si>
  <si>
    <t xml:space="preserve">Pharmacy - May 2024</t>
  </si>
  <si>
    <t xml:space="preserve">2024-05-21</t>
  </si>
  <si>
    <t xml:space="preserve">Books - May 2024</t>
  </si>
  <si>
    <t xml:space="preserve">2024-05-25</t>
  </si>
  <si>
    <t xml:space="preserve">Games - May 2024</t>
  </si>
  <si>
    <t xml:space="preserve">2024-05-22</t>
  </si>
  <si>
    <t xml:space="preserve">Donations - May 2024</t>
  </si>
  <si>
    <t xml:space="preserve">2024-06-01</t>
  </si>
  <si>
    <t xml:space="preserve">2024-06-07</t>
  </si>
  <si>
    <t xml:space="preserve">2024-06-08</t>
  </si>
  <si>
    <t xml:space="preserve">2024-06-12</t>
  </si>
  <si>
    <t xml:space="preserve">Electricity - Jun 2024</t>
  </si>
  <si>
    <t xml:space="preserve">2024-06-06</t>
  </si>
  <si>
    <t xml:space="preserve">Groceries - Jun 2024</t>
  </si>
  <si>
    <t xml:space="preserve">2024-06-04</t>
  </si>
  <si>
    <t xml:space="preserve">Metro - Jun 2024</t>
  </si>
  <si>
    <t xml:space="preserve">2024-06-03</t>
  </si>
  <si>
    <t xml:space="preserve">Insurance - Jun 2024</t>
  </si>
  <si>
    <t xml:space="preserve">2024-06-26</t>
  </si>
  <si>
    <t xml:space="preserve">Personal Care - Jun 2024</t>
  </si>
  <si>
    <t xml:space="preserve">2024-06-11</t>
  </si>
  <si>
    <t xml:space="preserve">Movies - Jun 2024</t>
  </si>
  <si>
    <t xml:space="preserve">2024-06-25</t>
  </si>
  <si>
    <t xml:space="preserve">Coaching</t>
  </si>
  <si>
    <t xml:space="preserve">Coaching - Jun 2024</t>
  </si>
  <si>
    <t xml:space="preserve">2024-06-09</t>
  </si>
  <si>
    <t xml:space="preserve">Gifts - Jun 2024</t>
  </si>
  <si>
    <t xml:space="preserve">2024-07-01</t>
  </si>
  <si>
    <t xml:space="preserve">2024-07-07</t>
  </si>
  <si>
    <t xml:space="preserve">2024-07-28</t>
  </si>
  <si>
    <t xml:space="preserve">Cab - Jul 2024</t>
  </si>
  <si>
    <t xml:space="preserve">2024-07-20</t>
  </si>
  <si>
    <t xml:space="preserve">Doctor - Jul 2024</t>
  </si>
  <si>
    <t xml:space="preserve">2024-07-06</t>
  </si>
  <si>
    <t xml:space="preserve">Clothing - Jul 2024</t>
  </si>
  <si>
    <t xml:space="preserve">2024-08-01</t>
  </si>
  <si>
    <t xml:space="preserve">2024-08-07</t>
  </si>
  <si>
    <t xml:space="preserve">2024-08-28</t>
  </si>
  <si>
    <t xml:space="preserve">Coffee - Aug 2024</t>
  </si>
  <si>
    <t xml:space="preserve">2024-08-22</t>
  </si>
  <si>
    <t xml:space="preserve">Events - Aug 2024</t>
  </si>
  <si>
    <t xml:space="preserve">2024-08-02</t>
  </si>
  <si>
    <t xml:space="preserve">Course Fee - Aug 2024</t>
  </si>
  <si>
    <t xml:space="preserve">2024-09-01</t>
  </si>
  <si>
    <t xml:space="preserve">2024-09-05</t>
  </si>
  <si>
    <t xml:space="preserve">2024-09-10</t>
  </si>
  <si>
    <t xml:space="preserve">2024-09-07</t>
  </si>
  <si>
    <t xml:space="preserve">2024-09-08</t>
  </si>
  <si>
    <t xml:space="preserve">2024-09-24</t>
  </si>
  <si>
    <t xml:space="preserve">Dining Out - Sep 2024</t>
  </si>
  <si>
    <t xml:space="preserve">2024-09-21</t>
  </si>
  <si>
    <t xml:space="preserve">Metro - Sep 2024</t>
  </si>
  <si>
    <t xml:space="preserve">Pharmacy - Sep 2024</t>
  </si>
  <si>
    <t xml:space="preserve">Coaching - Sep 2024</t>
  </si>
  <si>
    <t xml:space="preserve">2024-10-01</t>
  </si>
  <si>
    <t xml:space="preserve">2024-10-10</t>
  </si>
  <si>
    <t xml:space="preserve">2024-10-07</t>
  </si>
  <si>
    <t xml:space="preserve">2024-10-21</t>
  </si>
  <si>
    <t xml:space="preserve">Coffee - Oct 2024</t>
  </si>
  <si>
    <t xml:space="preserve">2024-10-19</t>
  </si>
  <si>
    <t xml:space="preserve">Fuel - Oct 2024</t>
  </si>
  <si>
    <t xml:space="preserve">2024-10-22</t>
  </si>
  <si>
    <t xml:space="preserve">Doctor - Oct 2024</t>
  </si>
  <si>
    <t xml:space="preserve">2024-10-15</t>
  </si>
  <si>
    <t xml:space="preserve">Games - Oct 2024</t>
  </si>
  <si>
    <t xml:space="preserve">2024-10-06</t>
  </si>
  <si>
    <t xml:space="preserve">Coaching - Oct 2024</t>
  </si>
  <si>
    <t xml:space="preserve">2024-11-01</t>
  </si>
  <si>
    <t xml:space="preserve">2024-11-07</t>
  </si>
  <si>
    <t xml:space="preserve">2024-11-26</t>
  </si>
  <si>
    <t xml:space="preserve">Maintenance - Nov 2024</t>
  </si>
  <si>
    <t xml:space="preserve">2024-11-09</t>
  </si>
  <si>
    <t xml:space="preserve">Coffee - Nov 2024</t>
  </si>
  <si>
    <t xml:space="preserve">2024-11-12</t>
  </si>
  <si>
    <t xml:space="preserve">Insurance - Nov 2024</t>
  </si>
  <si>
    <t xml:space="preserve">2024-11-17</t>
  </si>
  <si>
    <t xml:space="preserve">Books - Nov 2024</t>
  </si>
  <si>
    <t xml:space="preserve">2024-11-10</t>
  </si>
  <si>
    <t xml:space="preserve">Events - Nov 2024</t>
  </si>
  <si>
    <t xml:space="preserve">2024-11-02</t>
  </si>
  <si>
    <t xml:space="preserve">Certification - Nov 2024</t>
  </si>
  <si>
    <t xml:space="preserve">2024-11-25</t>
  </si>
  <si>
    <t xml:space="preserve">Miscellaneous - Nov 2024</t>
  </si>
  <si>
    <t xml:space="preserve">2024-12-01</t>
  </si>
  <si>
    <t xml:space="preserve">2024-12-07</t>
  </si>
  <si>
    <t xml:space="preserve">2024-12-08</t>
  </si>
  <si>
    <t xml:space="preserve">2024-12-16</t>
  </si>
  <si>
    <t xml:space="preserve">Internet - Dec 2024</t>
  </si>
  <si>
    <t xml:space="preserve">2024-12-17</t>
  </si>
  <si>
    <t xml:space="preserve">Gym - Dec 2024</t>
  </si>
  <si>
    <t xml:space="preserve">2024-12-13</t>
  </si>
  <si>
    <t xml:space="preserve">Personal Care - Dec 2024</t>
  </si>
  <si>
    <t xml:space="preserve">📊  MONTHLY INCOME &amp; EXPENSE SUMMARY</t>
  </si>
  <si>
    <t xml:space="preserve">Total Income</t>
  </si>
  <si>
    <t xml:space="preserve">Total Expense</t>
  </si>
  <si>
    <t xml:space="preserve">Total Savings</t>
  </si>
  <si>
    <t xml:space="preserve">Net Cash Flow</t>
  </si>
  <si>
    <t xml:space="preserve">Savings Rate %</t>
  </si>
  <si>
    <t xml:space="preserve">Cumulative Savings</t>
  </si>
  <si>
    <t xml:space="preserve">📅  ANNUAL PERFORMANCE SUMMARY</t>
  </si>
  <si>
    <t xml:space="preserve">YoY Income Growth</t>
  </si>
  <si>
    <t xml:space="preserve">YoY Expense Growth</t>
  </si>
  <si>
    <t xml:space="preserve">"-"</t>
  </si>
  <si>
    <t xml:space="preserve">🏷️  CATEGORY-WISE SPENDING ANALYSIS</t>
  </si>
  <si>
    <t xml:space="preserve">Select Year:</t>
  </si>
  <si>
    <t xml:space="preserve">2023 Total</t>
  </si>
  <si>
    <t xml:space="preserve">2024 Total</t>
  </si>
  <si>
    <t xml:space="preserve">Change ₹</t>
  </si>
  <si>
    <t xml:space="preserve">Change %</t>
  </si>
  <si>
    <t xml:space="preserve">% of Total Spend</t>
  </si>
  <si>
    <t xml:space="preserve">TOTAL</t>
  </si>
  <si>
    <t xml:space="preserve">💰  SAVINGS &amp; INVESTMENT TRACKER</t>
  </si>
  <si>
    <t xml:space="preserve">SAVINGS GOALS</t>
  </si>
  <si>
    <t xml:space="preserve">Goal</t>
  </si>
  <si>
    <t xml:space="preserve">Target (₹)</t>
  </si>
  <si>
    <t xml:space="preserve">Saved So Far</t>
  </si>
  <si>
    <t xml:space="preserve">Remaining</t>
  </si>
  <si>
    <t xml:space="preserve">Progress %</t>
  </si>
  <si>
    <t xml:space="preserve">Status</t>
  </si>
  <si>
    <t xml:space="preserve">Target Date</t>
  </si>
  <si>
    <t xml:space="preserve">2024-12</t>
  </si>
  <si>
    <t xml:space="preserve">International Trip</t>
  </si>
  <si>
    <t xml:space="preserve">2024-06</t>
  </si>
  <si>
    <t xml:space="preserve">Laptop / Gadget</t>
  </si>
  <si>
    <t xml:space="preserve">2024-03</t>
  </si>
  <si>
    <t xml:space="preserve">Higher Education</t>
  </si>
  <si>
    <t xml:space="preserve">2025-12</t>
  </si>
  <si>
    <t xml:space="preserve">MONTHLY SAVINGS BREAKDOWN BY TYPE</t>
  </si>
  <si>
    <t xml:space="preserve">Goal Savings</t>
  </si>
  <si>
    <t xml:space="preserve">Savings Rate</t>
  </si>
  <si>
    <t xml:space="preserve">💼  PERSONAL FINANCE DASHBOARD  |  FY 2024</t>
  </si>
  <si>
    <t xml:space="preserve">TOTAL INCOME</t>
  </si>
  <si>
    <t xml:space="preserve">TOTAL EXPENSES</t>
  </si>
  <si>
    <t xml:space="preserve">TOTAL SAVINGS</t>
  </si>
  <si>
    <t xml:space="preserve">SAVINGS RATE</t>
  </si>
  <si>
    <t xml:space="preserve">  MONTHLY INCOME vs EXPENSE vs SAVINGS  (2024)</t>
  </si>
  <si>
    <t xml:space="preserve">  CATEGORY SPENDING BREAKDOWN  (2024)</t>
  </si>
  <si>
    <t xml:space="preserve">2024 Spend</t>
  </si>
  <si>
    <t xml:space="preserve">% of Total</t>
  </si>
  <si>
    <t xml:space="preserve">vs 2023</t>
  </si>
  <si>
    <t xml:space="preserve">📖  FORMULA GUIDE &amp; INSTRUCTIONS</t>
  </si>
  <si>
    <t xml:space="preserve">SHEET OVERVIEW</t>
  </si>
  <si>
    <t xml:space="preserve">Sheet</t>
  </si>
  <si>
    <t xml:space="preserve">Purpose</t>
  </si>
  <si>
    <t xml:space="preserve">Key Features</t>
  </si>
  <si>
    <t xml:space="preserve">RAW_DATA</t>
  </si>
  <si>
    <t xml:space="preserve">Log all transactions here</t>
  </si>
  <si>
    <t xml:space="preserve">Formatted table, drop-down for Type, auto-categorisation</t>
  </si>
  <si>
    <t xml:space="preserve">MONTHLY_SUMMARY</t>
  </si>
  <si>
    <t xml:space="preserve">Auto-calculated monthly P&amp;L</t>
  </si>
  <si>
    <t xml:space="preserve">SUMPRODUCT formulas, conditional formatting</t>
  </si>
  <si>
    <t xml:space="preserve">ANNUAL_SUMMARY</t>
  </si>
  <si>
    <t xml:space="preserve">Year-over-year comparison</t>
  </si>
  <si>
    <t xml:space="preserve">YoY growth %, aggregated from monthly</t>
  </si>
  <si>
    <t xml:space="preserve">CATEGORY_ANALYSIS</t>
  </si>
  <si>
    <t xml:space="preserve">Spending by category</t>
  </si>
  <si>
    <t xml:space="preserve">Year selector, color-scale heatmap</t>
  </si>
  <si>
    <t xml:space="preserve">SAVINGS_TRACKER</t>
  </si>
  <si>
    <t xml:space="preserve">Goal tracking + SIP breakdown</t>
  </si>
  <si>
    <t xml:space="preserve">Goal progress, savings by sub-category</t>
  </si>
  <si>
    <t xml:space="preserve">DASHBOARD</t>
  </si>
  <si>
    <t xml:space="preserve">Executive KPI view</t>
  </si>
  <si>
    <t xml:space="preserve">KPI cards, clustered bar chart, pie chart, line chart</t>
  </si>
  <si>
    <t xml:space="preserve">COLOR CODING LEGEND</t>
  </si>
  <si>
    <t xml:space="preserve">Color</t>
  </si>
  <si>
    <t xml:space="preserve">Meaning</t>
  </si>
  <si>
    <t xml:space="preserve">Blue text</t>
  </si>
  <si>
    <t xml:space="preserve">Hardcoded input — change freely (e.g. targets, year selector)</t>
  </si>
  <si>
    <t xml:space="preserve">Black text</t>
  </si>
  <si>
    <t xml:space="preserve">Formula — do NOT edit</t>
  </si>
  <si>
    <t xml:space="preserve">Green text</t>
  </si>
  <si>
    <t xml:space="preserve">Cross-sheet link</t>
  </si>
  <si>
    <t xml:space="preserve">Yellow fill</t>
  </si>
  <si>
    <t xml:space="preserve">Cell that needs your input or attention</t>
  </si>
  <si>
    <t xml:space="preserve">KEY FORMULAS USED</t>
  </si>
  <si>
    <t xml:space="preserve">Formula</t>
  </si>
  <si>
    <t xml:space="preserve">Example</t>
  </si>
  <si>
    <t xml:space="preserve">SUMPRODUCT</t>
  </si>
  <si>
    <t xml:space="preserve">Multi-condition sum (replaces SUMIFS for array logic)</t>
  </si>
  <si>
    <t xml:space="preserve">SUMPRODUCT((A:A=Year)*(B:B=Month)*(D:D=Income)*H:H)</t>
  </si>
  <si>
    <t xml:space="preserve">XLOOKUP / IFERROR</t>
  </si>
  <si>
    <t xml:space="preserve">Safe lookups with fallback</t>
  </si>
  <si>
    <t xml:space="preserve">IFERROR(XLOOKUP(...), 0)</t>
  </si>
  <si>
    <t xml:space="preserve">Conditional Formatting</t>
  </si>
  <si>
    <t xml:space="preserve">ColorScale for savings rate, CellIsRule for negatives</t>
  </si>
  <si>
    <t xml:space="preserve">Applied on G col in MONTHLY_SUMMARY</t>
  </si>
  <si>
    <t xml:space="preserve">DataValidation</t>
  </si>
  <si>
    <t xml:space="preserve">Drop-down lists for Type and Year</t>
  </si>
  <si>
    <t xml:space="preserve">D column in RAW_DATA, B3 in CATEGORY_ANALYSIS</t>
  </si>
  <si>
    <t xml:space="preserve">Named Table (Transactions)</t>
  </si>
  <si>
    <t xml:space="preserve">Structured ref in RAW_DATA</t>
  </si>
  <si>
    <t xml:space="preserve">Insert → Table on RAW_DATA</t>
  </si>
  <si>
    <t xml:space="preserve">HOW TO ADD NEW DATA</t>
  </si>
  <si>
    <t xml:space="preserve">Step</t>
  </si>
  <si>
    <t xml:space="preserve">Action</t>
  </si>
  <si>
    <t xml:space="preserve">1</t>
  </si>
  <si>
    <t xml:space="preserve">Go to RAW_DATA sheet</t>
  </si>
  <si>
    <t xml:space="preserve">2</t>
  </si>
  <si>
    <t xml:space="preserve">Add a new row below the last transaction</t>
  </si>
  <si>
    <t xml:space="preserve">3</t>
  </si>
  <si>
    <t xml:space="preserve">Fill: Date, Month, Year, Type (Income/Expense/Savings), Category, Sub-Category, Description, Amount, Account</t>
  </si>
  <si>
    <t xml:space="preserve">4</t>
  </si>
  <si>
    <t xml:space="preserve">All summary sheets update automatically — no manual refresh needed</t>
  </si>
  <si>
    <t xml:space="preserve">5</t>
  </si>
  <si>
    <t xml:space="preserve">To add a new year, extend MONTHLY_SUMMARY rows with the same SUMPRODUCT pattern</t>
  </si>
  <si>
    <t xml:space="preserve">POWER QUERY NOTE</t>
  </si>
  <si>
    <t xml:space="preserve">Feature</t>
  </si>
  <si>
    <t xml:space="preserve">How to Enable</t>
  </si>
  <si>
    <t xml:space="preserve">Power Query Refresh</t>
  </si>
  <si>
    <t xml:space="preserve">Data → Get Data → From Table/Range → select Transactions table</t>
  </si>
  <si>
    <t xml:space="preserve">Auto-refresh on open</t>
  </si>
  <si>
    <t xml:space="preserve">Queries &amp; Connections → Properties → Refresh on file open</t>
  </si>
  <si>
    <t xml:space="preserve">Connect external bank CSV</t>
  </si>
  <si>
    <t xml:space="preserve">Data → Get Data → From File → From CSV → then merge with Transactions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</si>
</sst>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;&quot;(₹&quot;#,##0\);\-"/>
    <numFmt numFmtId="166" formatCode="0.0%"/>
    <numFmt numFmtId="167" formatCode="\₹#,##0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252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A3A"/>
        <bgColor rgb="FF1A252F"/>
      </patternFill>
    </fill>
    <fill>
      <patternFill patternType="solid">
        <fgColor rgb="FFF4F9FD"/>
        <bgColor rgb="FFF0F7FF"/>
      </patternFill>
    </fill>
    <fill>
      <patternFill patternType="solid">
        <fgColor rgb="FF2C3E55"/>
        <bgColor rgb="FF1E2A3A"/>
      </patternFill>
    </fill>
    <fill>
      <patternFill patternType="solid">
        <fgColor rgb="FFF0F7FF"/>
        <bgColor rgb="FFF4F9FD"/>
      </patternFill>
    </fill>
    <fill>
      <patternFill patternType="solid">
        <fgColor rgb="FFFFF9C4"/>
        <bgColor rgb="FFFDECEA"/>
      </patternFill>
    </fill>
    <fill>
      <patternFill patternType="solid">
        <fgColor rgb="FF3498DB"/>
        <bgColor rgb="FF4299B0"/>
      </patternFill>
    </fill>
    <fill>
      <patternFill patternType="solid">
        <fgColor rgb="FF27AE60"/>
        <bgColor rgb="FF4299B0"/>
      </patternFill>
    </fill>
    <fill>
      <patternFill patternType="solid">
        <fgColor rgb="FFE74C3C"/>
        <bgColor rgb="FFC0392B"/>
      </patternFill>
    </fill>
    <fill>
      <patternFill patternType="solid">
        <fgColor rgb="FFF39C12"/>
        <bgColor rgb="FFE67E2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2A3A"/>
          <bgColor rgb="FF000000"/>
        </patternFill>
      </fill>
    </dxf>
    <dxf>
      <fill>
        <patternFill patternType="solid">
          <fgColor rgb="FFF4F9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C0392B"/>
        <sz val="10"/>
      </font>
      <fill>
        <patternFill>
          <bgColor rgb="FFFDECEA"/>
        </patternFill>
      </fill>
    </dxf>
  </dxfs>
  <colors>
    <indexedColors>
      <rgbColor rgb="FF000000"/>
      <rgbColor rgb="FFFFFFFF"/>
      <rgbColor rgb="FFE74C3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299B0"/>
      <rgbColor rgb="FFBDC3C7"/>
      <rgbColor rgb="FF878787"/>
      <rgbColor rgb="FF93A9CE"/>
      <rgbColor rgb="FFAB4744"/>
      <rgbColor rgb="FFFFF9C4"/>
      <rgbColor rgb="FFF0F7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4F9FD"/>
      <rgbColor rgb="FFCCFFCC"/>
      <rgbColor rgb="FFFDECEA"/>
      <rgbColor rgb="FF99CCFF"/>
      <rgbColor rgb="FFD09493"/>
      <rgbColor rgb="FFCC99FF"/>
      <rgbColor rgb="FFFFCC99"/>
      <rgbColor rgb="FF4672A8"/>
      <rgbColor rgb="FF3498DB"/>
      <rgbColor rgb="FF99CC00"/>
      <rgbColor rgb="FFFFCC00"/>
      <rgbColor rgb="FFF39C12"/>
      <rgbColor rgb="FFE67E22"/>
      <rgbColor rgb="FF725990"/>
      <rgbColor rgb="FF7F8C8D"/>
      <rgbColor rgb="FF003366"/>
      <rgbColor rgb="FF27AE60"/>
      <rgbColor rgb="FF003300"/>
      <rgbColor rgb="FF1A252F"/>
      <rgbColor rgb="FFC0392B"/>
      <rgbColor rgb="FF8E44AD"/>
      <rgbColor rgb="FF2C3E55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 vs Savings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\₹#,##0</c:formatCode>
                <c:ptCount val="12"/>
                <c:pt idx="0">
                  <c:v>72426</c:v>
                </c:pt>
                <c:pt idx="1">
                  <c:v>65000</c:v>
                </c:pt>
                <c:pt idx="2">
                  <c:v>76894</c:v>
                </c:pt>
                <c:pt idx="3">
                  <c:v>65000</c:v>
                </c:pt>
                <c:pt idx="4">
                  <c:v>65000</c:v>
                </c:pt>
                <c:pt idx="5">
                  <c:v>65000</c:v>
                </c:pt>
                <c:pt idx="6">
                  <c:v>65000</c:v>
                </c:pt>
                <c:pt idx="7">
                  <c:v>65000</c:v>
                </c:pt>
                <c:pt idx="8">
                  <c:v>84241</c:v>
                </c:pt>
                <c:pt idx="9">
                  <c:v>80276</c:v>
                </c:pt>
                <c:pt idx="10">
                  <c:v>65000</c:v>
                </c:pt>
                <c:pt idx="11">
                  <c:v>65000</c:v>
                </c:pt>
              </c:numCache>
            </c:numRef>
          </c:val>
        </c:ser>
        <c:ser>
          <c:idx val="1"/>
          <c:order val="1"/>
          <c:tx>
            <c:strRef>
              <c:f>DASHBOARD!D10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e74c3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DASHBOARD!$D$11:$D$22</c:f>
              <c:numCache>
                <c:formatCode>\₹#,##0</c:formatCode>
                <c:ptCount val="12"/>
                <c:pt idx="0">
                  <c:v>23496</c:v>
                </c:pt>
                <c:pt idx="1">
                  <c:v>18556</c:v>
                </c:pt>
                <c:pt idx="2">
                  <c:v>16013</c:v>
                </c:pt>
                <c:pt idx="3">
                  <c:v>19522</c:v>
                </c:pt>
                <c:pt idx="4">
                  <c:v>28005</c:v>
                </c:pt>
                <c:pt idx="5">
                  <c:v>21787</c:v>
                </c:pt>
                <c:pt idx="6">
                  <c:v>6019</c:v>
                </c:pt>
                <c:pt idx="7">
                  <c:v>8693</c:v>
                </c:pt>
                <c:pt idx="8">
                  <c:v>9513</c:v>
                </c:pt>
                <c:pt idx="9">
                  <c:v>11565</c:v>
                </c:pt>
                <c:pt idx="10">
                  <c:v>25930</c:v>
                </c:pt>
                <c:pt idx="11">
                  <c:v>18370</c:v>
                </c:pt>
              </c:numCache>
            </c:numRef>
          </c:val>
        </c:ser>
        <c:ser>
          <c:idx val="2"/>
          <c:order val="2"/>
          <c:tx>
            <c:strRef>
              <c:f>DASHBOARD!E10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3498d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DASHBOARD!$E$11:$E$22</c:f>
              <c:numCache>
                <c:formatCode>\₹#,##0</c:formatCode>
                <c:ptCount val="12"/>
                <c:pt idx="0">
                  <c:v>10000</c:v>
                </c:pt>
                <c:pt idx="1">
                  <c:v>10000</c:v>
                </c:pt>
                <c:pt idx="2">
                  <c:v>15000</c:v>
                </c:pt>
                <c:pt idx="3">
                  <c:v>10000</c:v>
                </c:pt>
                <c:pt idx="4">
                  <c:v>10000</c:v>
                </c:pt>
                <c:pt idx="5">
                  <c:v>15000</c:v>
                </c:pt>
                <c:pt idx="6">
                  <c:v>10000</c:v>
                </c:pt>
                <c:pt idx="7">
                  <c:v>10000</c:v>
                </c:pt>
                <c:pt idx="8">
                  <c:v>15000</c:v>
                </c:pt>
                <c:pt idx="9">
                  <c:v>10000</c:v>
                </c:pt>
                <c:pt idx="10">
                  <c:v>10000</c:v>
                </c:pt>
                <c:pt idx="11">
                  <c:v>15000</c:v>
                </c:pt>
              </c:numCache>
            </c:numRef>
          </c:val>
        </c:ser>
        <c:gapWidth val="150"/>
        <c:overlap val="0"/>
        <c:axId val="51130379"/>
        <c:axId val="9589239"/>
      </c:barChart>
      <c:catAx>
        <c:axId val="51130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9239"/>
        <c:crosses val="autoZero"/>
        <c:auto val="1"/>
        <c:lblAlgn val="ctr"/>
        <c:lblOffset val="100"/>
        <c:noMultiLvlLbl val="0"/>
      </c:catAx>
      <c:valAx>
        <c:axId val="9589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0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Savings Rate %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DASHBOARD!F10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rgbClr val="f39c12"/>
            </a:solidFill>
            <a:ln w="24840">
              <a:solidFill>
                <a:srgbClr val="f39c1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DASHBOARD!$F$11:$F$22</c:f>
              <c:numCache>
                <c:formatCode>0.0%</c:formatCode>
                <c:ptCount val="12"/>
                <c:pt idx="0">
                  <c:v>0.138071963107171</c:v>
                </c:pt>
                <c:pt idx="1">
                  <c:v>0.153846153846154</c:v>
                </c:pt>
                <c:pt idx="2">
                  <c:v>0.195073737872916</c:v>
                </c:pt>
                <c:pt idx="3">
                  <c:v>0.153846153846154</c:v>
                </c:pt>
                <c:pt idx="4">
                  <c:v>0.153846153846154</c:v>
                </c:pt>
                <c:pt idx="5">
                  <c:v>0.230769230769231</c:v>
                </c:pt>
                <c:pt idx="6">
                  <c:v>0.153846153846154</c:v>
                </c:pt>
                <c:pt idx="7">
                  <c:v>0.153846153846154</c:v>
                </c:pt>
                <c:pt idx="8">
                  <c:v>0.178060564333282</c:v>
                </c:pt>
                <c:pt idx="9">
                  <c:v>0.124570232697195</c:v>
                </c:pt>
                <c:pt idx="10">
                  <c:v>0.153846153846154</c:v>
                </c:pt>
                <c:pt idx="11">
                  <c:v>0.230769230769231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90711"/>
        <c:axId val="28103189"/>
      </c:lineChart>
      <c:catAx>
        <c:axId val="255907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03189"/>
        <c:crosses val="autoZero"/>
        <c:auto val="1"/>
        <c:lblAlgn val="ctr"/>
        <c:lblOffset val="100"/>
        <c:noMultiLvlLbl val="0"/>
      </c:catAx>
      <c:valAx>
        <c:axId val="28103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0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Split by Category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DASHBOARD!$B$42:$B$49</c:f>
              <c:strCache>
                <c:ptCount val="8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Health</c:v>
                </c:pt>
                <c:pt idx="4">
                  <c:v>Shopping</c:v>
                </c:pt>
                <c:pt idx="5">
                  <c:v>Entertainment</c:v>
                </c:pt>
                <c:pt idx="6">
                  <c:v>Education</c:v>
                </c:pt>
                <c:pt idx="7">
                  <c:v>Others</c:v>
                </c:pt>
              </c:strCache>
            </c:strRef>
          </c:cat>
          <c:val>
            <c:numRef>
              <c:f>DASHBOARD!$C$42:$C$49</c:f>
              <c:numCache>
                <c:formatCode>\₹#,##0</c:formatCode>
                <c:ptCount val="8"/>
                <c:pt idx="0">
                  <c:v>92061</c:v>
                </c:pt>
                <c:pt idx="1">
                  <c:v>34244</c:v>
                </c:pt>
                <c:pt idx="2">
                  <c:v>14222</c:v>
                </c:pt>
                <c:pt idx="3">
                  <c:v>14002</c:v>
                </c:pt>
                <c:pt idx="4">
                  <c:v>22551</c:v>
                </c:pt>
                <c:pt idx="5">
                  <c:v>5875</c:v>
                </c:pt>
                <c:pt idx="6">
                  <c:v>17834</c:v>
                </c:pt>
                <c:pt idx="7">
                  <c:v>6680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9</xdr:col>
      <xdr:colOff>588960</xdr:colOff>
      <xdr:row>44</xdr:row>
      <xdr:rowOff>42480</xdr:rowOff>
    </xdr:to>
    <xdr:graphicFrame>
      <xdr:nvGraphicFramePr>
        <xdr:cNvPr id="0" name="Chart 1"/>
        <xdr:cNvGraphicFramePr/>
      </xdr:nvGraphicFramePr>
      <xdr:xfrm>
        <a:off x="141120" y="488628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14</xdr:col>
      <xdr:colOff>457920</xdr:colOff>
      <xdr:row>40</xdr:row>
      <xdr:rowOff>84600</xdr:rowOff>
    </xdr:to>
    <xdr:graphicFrame>
      <xdr:nvGraphicFramePr>
        <xdr:cNvPr id="1" name="Chart 2"/>
        <xdr:cNvGraphicFramePr/>
      </xdr:nvGraphicFramePr>
      <xdr:xfrm>
        <a:off x="7471440" y="488628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457560</xdr:colOff>
      <xdr:row>62</xdr:row>
      <xdr:rowOff>128160</xdr:rowOff>
    </xdr:to>
    <xdr:graphicFrame>
      <xdr:nvGraphicFramePr>
        <xdr:cNvPr id="2" name="Chart 3"/>
        <xdr:cNvGraphicFramePr/>
      </xdr:nvGraphicFramePr>
      <xdr:xfrm>
        <a:off x="5638680" y="840096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" displayName="Transactions" ref="A1:J200" headerRowCount="1" totalsRowCount="0" totalsRowShown="0">
  <autoFilter ref="A1:J200"/>
  <tableColumns count="10">
    <tableColumn id="1" name="Date"/>
    <tableColumn id="2" name="Month"/>
    <tableColumn id="3" name="Year"/>
    <tableColumn id="4" name="Type"/>
    <tableColumn id="5" name="Category"/>
    <tableColumn id="6" name="Sub-Category"/>
    <tableColumn id="7" name="Description"/>
    <tableColumn id="8" name="Amount"/>
    <tableColumn id="9" name="Account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J20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n">
        <v>2023</v>
      </c>
      <c r="D2" s="4" t="s">
        <v>12</v>
      </c>
      <c r="E2" s="3" t="s">
        <v>13</v>
      </c>
      <c r="F2" s="3" t="s">
        <v>14</v>
      </c>
      <c r="G2" s="3" t="s">
        <v>15</v>
      </c>
      <c r="H2" s="5" t="n">
        <v>65000</v>
      </c>
      <c r="I2" s="3" t="s">
        <v>16</v>
      </c>
      <c r="J2" s="3"/>
    </row>
    <row r="3" customFormat="false" ht="15" hidden="false" customHeight="true" outlineLevel="0" collapsed="false">
      <c r="A3" s="6" t="s">
        <v>17</v>
      </c>
      <c r="B3" s="6" t="s">
        <v>11</v>
      </c>
      <c r="C3" s="6" t="n">
        <v>2023</v>
      </c>
      <c r="D3" s="7" t="s">
        <v>12</v>
      </c>
      <c r="E3" s="6" t="s">
        <v>18</v>
      </c>
      <c r="F3" s="6" t="s">
        <v>19</v>
      </c>
      <c r="G3" s="6" t="s">
        <v>20</v>
      </c>
      <c r="H3" s="8" t="n">
        <v>5409</v>
      </c>
      <c r="I3" s="6" t="s">
        <v>16</v>
      </c>
      <c r="J3" s="6"/>
    </row>
    <row r="4" customFormat="false" ht="15" hidden="false" customHeight="true" outlineLevel="0" collapsed="false">
      <c r="A4" s="3" t="s">
        <v>21</v>
      </c>
      <c r="B4" s="3" t="s">
        <v>11</v>
      </c>
      <c r="C4" s="3" t="n">
        <v>2023</v>
      </c>
      <c r="D4" s="4" t="s">
        <v>22</v>
      </c>
      <c r="E4" s="3" t="s">
        <v>23</v>
      </c>
      <c r="F4" s="3" t="s">
        <v>24</v>
      </c>
      <c r="G4" s="3" t="s">
        <v>25</v>
      </c>
      <c r="H4" s="5" t="n">
        <v>10000</v>
      </c>
      <c r="I4" s="3" t="s">
        <v>26</v>
      </c>
      <c r="J4" s="3"/>
    </row>
    <row r="5" customFormat="false" ht="15" hidden="false" customHeight="true" outlineLevel="0" collapsed="false">
      <c r="A5" s="6" t="s">
        <v>27</v>
      </c>
      <c r="B5" s="6" t="s">
        <v>11</v>
      </c>
      <c r="C5" s="6" t="n">
        <v>2023</v>
      </c>
      <c r="D5" s="7" t="s">
        <v>28</v>
      </c>
      <c r="E5" s="6" t="s">
        <v>29</v>
      </c>
      <c r="F5" s="6" t="s">
        <v>30</v>
      </c>
      <c r="G5" s="6" t="s">
        <v>31</v>
      </c>
      <c r="H5" s="8" t="n">
        <v>9657</v>
      </c>
      <c r="I5" s="6" t="s">
        <v>16</v>
      </c>
      <c r="J5" s="6"/>
    </row>
    <row r="6" customFormat="false" ht="15" hidden="false" customHeight="true" outlineLevel="0" collapsed="false">
      <c r="A6" s="3" t="s">
        <v>32</v>
      </c>
      <c r="B6" s="3" t="s">
        <v>11</v>
      </c>
      <c r="C6" s="3" t="n">
        <v>2023</v>
      </c>
      <c r="D6" s="4" t="s">
        <v>28</v>
      </c>
      <c r="E6" s="3" t="s">
        <v>33</v>
      </c>
      <c r="F6" s="3" t="s">
        <v>34</v>
      </c>
      <c r="G6" s="3" t="s">
        <v>35</v>
      </c>
      <c r="H6" s="5" t="n">
        <v>4518</v>
      </c>
      <c r="I6" s="3" t="s">
        <v>16</v>
      </c>
      <c r="J6" s="3"/>
    </row>
    <row r="7" customFormat="false" ht="15" hidden="false" customHeight="true" outlineLevel="0" collapsed="false">
      <c r="A7" s="6" t="s">
        <v>36</v>
      </c>
      <c r="B7" s="6" t="s">
        <v>11</v>
      </c>
      <c r="C7" s="6" t="n">
        <v>2023</v>
      </c>
      <c r="D7" s="7" t="s">
        <v>28</v>
      </c>
      <c r="E7" s="6" t="s">
        <v>37</v>
      </c>
      <c r="F7" s="6" t="s">
        <v>38</v>
      </c>
      <c r="G7" s="6" t="s">
        <v>39</v>
      </c>
      <c r="H7" s="8" t="n">
        <v>2314</v>
      </c>
      <c r="I7" s="6" t="s">
        <v>26</v>
      </c>
      <c r="J7" s="6"/>
    </row>
    <row r="8" customFormat="false" ht="15" hidden="false" customHeight="true" outlineLevel="0" collapsed="false">
      <c r="A8" s="3" t="s">
        <v>17</v>
      </c>
      <c r="B8" s="3" t="s">
        <v>11</v>
      </c>
      <c r="C8" s="3" t="n">
        <v>2023</v>
      </c>
      <c r="D8" s="4" t="s">
        <v>28</v>
      </c>
      <c r="E8" s="3" t="s">
        <v>40</v>
      </c>
      <c r="F8" s="3" t="s">
        <v>41</v>
      </c>
      <c r="G8" s="3" t="s">
        <v>42</v>
      </c>
      <c r="H8" s="5" t="n">
        <v>1143</v>
      </c>
      <c r="I8" s="3" t="s">
        <v>16</v>
      </c>
      <c r="J8" s="3"/>
    </row>
    <row r="9" customFormat="false" ht="15" hidden="false" customHeight="true" outlineLevel="0" collapsed="false">
      <c r="A9" s="6" t="s">
        <v>32</v>
      </c>
      <c r="B9" s="6" t="s">
        <v>11</v>
      </c>
      <c r="C9" s="6" t="n">
        <v>2023</v>
      </c>
      <c r="D9" s="7" t="s">
        <v>28</v>
      </c>
      <c r="E9" s="6" t="s">
        <v>43</v>
      </c>
      <c r="F9" s="6" t="s">
        <v>44</v>
      </c>
      <c r="G9" s="6" t="s">
        <v>45</v>
      </c>
      <c r="H9" s="8" t="n">
        <v>2629</v>
      </c>
      <c r="I9" s="6" t="s">
        <v>46</v>
      </c>
      <c r="J9" s="6"/>
    </row>
    <row r="10" customFormat="false" ht="15" hidden="false" customHeight="true" outlineLevel="0" collapsed="false">
      <c r="A10" s="3" t="s">
        <v>47</v>
      </c>
      <c r="B10" s="3" t="s">
        <v>48</v>
      </c>
      <c r="C10" s="3" t="n">
        <v>2023</v>
      </c>
      <c r="D10" s="4" t="s">
        <v>12</v>
      </c>
      <c r="E10" s="3" t="s">
        <v>13</v>
      </c>
      <c r="F10" s="3" t="s">
        <v>14</v>
      </c>
      <c r="G10" s="3" t="s">
        <v>15</v>
      </c>
      <c r="H10" s="5" t="n">
        <v>65000</v>
      </c>
      <c r="I10" s="3" t="s">
        <v>16</v>
      </c>
      <c r="J10" s="3"/>
    </row>
    <row r="11" customFormat="false" ht="15" hidden="false" customHeight="true" outlineLevel="0" collapsed="false">
      <c r="A11" s="6" t="s">
        <v>49</v>
      </c>
      <c r="B11" s="6" t="s">
        <v>48</v>
      </c>
      <c r="C11" s="6" t="n">
        <v>2023</v>
      </c>
      <c r="D11" s="7" t="s">
        <v>22</v>
      </c>
      <c r="E11" s="6" t="s">
        <v>23</v>
      </c>
      <c r="F11" s="6" t="s">
        <v>24</v>
      </c>
      <c r="G11" s="6" t="s">
        <v>25</v>
      </c>
      <c r="H11" s="8" t="n">
        <v>10000</v>
      </c>
      <c r="I11" s="6" t="s">
        <v>26</v>
      </c>
      <c r="J11" s="6"/>
    </row>
    <row r="12" customFormat="false" ht="15" hidden="false" customHeight="true" outlineLevel="0" collapsed="false">
      <c r="A12" s="3" t="s">
        <v>50</v>
      </c>
      <c r="B12" s="3" t="s">
        <v>48</v>
      </c>
      <c r="C12" s="3" t="n">
        <v>2023</v>
      </c>
      <c r="D12" s="4" t="s">
        <v>28</v>
      </c>
      <c r="E12" s="3" t="s">
        <v>29</v>
      </c>
      <c r="F12" s="3" t="s">
        <v>51</v>
      </c>
      <c r="G12" s="3" t="s">
        <v>52</v>
      </c>
      <c r="H12" s="5" t="n">
        <v>7519</v>
      </c>
      <c r="I12" s="3" t="s">
        <v>16</v>
      </c>
      <c r="J12" s="3"/>
    </row>
    <row r="13" customFormat="false" ht="15" hidden="false" customHeight="true" outlineLevel="0" collapsed="false">
      <c r="A13" s="6" t="s">
        <v>53</v>
      </c>
      <c r="B13" s="6" t="s">
        <v>48</v>
      </c>
      <c r="C13" s="6" t="n">
        <v>2023</v>
      </c>
      <c r="D13" s="7" t="s">
        <v>28</v>
      </c>
      <c r="E13" s="6" t="s">
        <v>33</v>
      </c>
      <c r="F13" s="6" t="s">
        <v>54</v>
      </c>
      <c r="G13" s="6" t="s">
        <v>55</v>
      </c>
      <c r="H13" s="8" t="n">
        <v>4572</v>
      </c>
      <c r="I13" s="6" t="s">
        <v>16</v>
      </c>
      <c r="J13" s="6"/>
    </row>
    <row r="14" customFormat="false" ht="15" hidden="false" customHeight="true" outlineLevel="0" collapsed="false">
      <c r="A14" s="3" t="s">
        <v>56</v>
      </c>
      <c r="B14" s="3" t="s">
        <v>48</v>
      </c>
      <c r="C14" s="3" t="n">
        <v>2023</v>
      </c>
      <c r="D14" s="4" t="s">
        <v>28</v>
      </c>
      <c r="E14" s="3" t="s">
        <v>57</v>
      </c>
      <c r="F14" s="3" t="s">
        <v>58</v>
      </c>
      <c r="G14" s="3" t="s">
        <v>59</v>
      </c>
      <c r="H14" s="5" t="n">
        <v>1675</v>
      </c>
      <c r="I14" s="3" t="s">
        <v>26</v>
      </c>
      <c r="J14" s="3"/>
    </row>
    <row r="15" customFormat="false" ht="15" hidden="false" customHeight="true" outlineLevel="0" collapsed="false">
      <c r="A15" s="6" t="s">
        <v>60</v>
      </c>
      <c r="B15" s="6" t="s">
        <v>48</v>
      </c>
      <c r="C15" s="6" t="n">
        <v>2023</v>
      </c>
      <c r="D15" s="7" t="s">
        <v>28</v>
      </c>
      <c r="E15" s="6" t="s">
        <v>37</v>
      </c>
      <c r="F15" s="6" t="s">
        <v>44</v>
      </c>
      <c r="G15" s="6" t="s">
        <v>61</v>
      </c>
      <c r="H15" s="8" t="n">
        <v>2287</v>
      </c>
      <c r="I15" s="6" t="s">
        <v>16</v>
      </c>
      <c r="J15" s="6"/>
    </row>
    <row r="16" customFormat="false" ht="15" hidden="false" customHeight="true" outlineLevel="0" collapsed="false">
      <c r="A16" s="3" t="s">
        <v>62</v>
      </c>
      <c r="B16" s="3" t="s">
        <v>63</v>
      </c>
      <c r="C16" s="3" t="n">
        <v>2023</v>
      </c>
      <c r="D16" s="4" t="s">
        <v>12</v>
      </c>
      <c r="E16" s="3" t="s">
        <v>13</v>
      </c>
      <c r="F16" s="3" t="s">
        <v>14</v>
      </c>
      <c r="G16" s="3" t="s">
        <v>15</v>
      </c>
      <c r="H16" s="5" t="n">
        <v>65000</v>
      </c>
      <c r="I16" s="3" t="s">
        <v>16</v>
      </c>
      <c r="J16" s="3"/>
    </row>
    <row r="17" customFormat="false" ht="15" hidden="false" customHeight="true" outlineLevel="0" collapsed="false">
      <c r="A17" s="6" t="s">
        <v>64</v>
      </c>
      <c r="B17" s="6" t="s">
        <v>63</v>
      </c>
      <c r="C17" s="6" t="n">
        <v>2023</v>
      </c>
      <c r="D17" s="7" t="s">
        <v>12</v>
      </c>
      <c r="E17" s="6" t="s">
        <v>13</v>
      </c>
      <c r="F17" s="6" t="s">
        <v>65</v>
      </c>
      <c r="G17" s="6" t="s">
        <v>66</v>
      </c>
      <c r="H17" s="8" t="n">
        <v>11307</v>
      </c>
      <c r="I17" s="6" t="s">
        <v>16</v>
      </c>
      <c r="J17" s="6"/>
    </row>
    <row r="18" customFormat="false" ht="15" hidden="false" customHeight="true" outlineLevel="0" collapsed="false">
      <c r="A18" s="3" t="s">
        <v>67</v>
      </c>
      <c r="B18" s="3" t="s">
        <v>63</v>
      </c>
      <c r="C18" s="3" t="n">
        <v>2023</v>
      </c>
      <c r="D18" s="4" t="s">
        <v>12</v>
      </c>
      <c r="E18" s="3" t="s">
        <v>18</v>
      </c>
      <c r="F18" s="3" t="s">
        <v>19</v>
      </c>
      <c r="G18" s="3" t="s">
        <v>20</v>
      </c>
      <c r="H18" s="5" t="n">
        <v>6654</v>
      </c>
      <c r="I18" s="3" t="s">
        <v>16</v>
      </c>
      <c r="J18" s="3"/>
    </row>
    <row r="19" customFormat="false" ht="15" hidden="false" customHeight="true" outlineLevel="0" collapsed="false">
      <c r="A19" s="6" t="s">
        <v>68</v>
      </c>
      <c r="B19" s="6" t="s">
        <v>63</v>
      </c>
      <c r="C19" s="6" t="n">
        <v>2023</v>
      </c>
      <c r="D19" s="7" t="s">
        <v>22</v>
      </c>
      <c r="E19" s="6" t="s">
        <v>23</v>
      </c>
      <c r="F19" s="6" t="s">
        <v>24</v>
      </c>
      <c r="G19" s="6" t="s">
        <v>25</v>
      </c>
      <c r="H19" s="8" t="n">
        <v>10000</v>
      </c>
      <c r="I19" s="6" t="s">
        <v>26</v>
      </c>
      <c r="J19" s="6"/>
    </row>
    <row r="20" customFormat="false" ht="15" hidden="false" customHeight="true" outlineLevel="0" collapsed="false">
      <c r="A20" s="3" t="s">
        <v>69</v>
      </c>
      <c r="B20" s="3" t="s">
        <v>63</v>
      </c>
      <c r="C20" s="3" t="n">
        <v>2023</v>
      </c>
      <c r="D20" s="4" t="s">
        <v>22</v>
      </c>
      <c r="E20" s="3" t="s">
        <v>70</v>
      </c>
      <c r="F20" s="3" t="s">
        <v>71</v>
      </c>
      <c r="G20" s="3" t="s">
        <v>72</v>
      </c>
      <c r="H20" s="5" t="n">
        <v>5000</v>
      </c>
      <c r="I20" s="3" t="s">
        <v>73</v>
      </c>
      <c r="J20" s="3"/>
    </row>
    <row r="21" customFormat="false" ht="15" hidden="false" customHeight="true" outlineLevel="0" collapsed="false">
      <c r="A21" s="6" t="s">
        <v>68</v>
      </c>
      <c r="B21" s="6" t="s">
        <v>63</v>
      </c>
      <c r="C21" s="6" t="n">
        <v>2023</v>
      </c>
      <c r="D21" s="7" t="s">
        <v>28</v>
      </c>
      <c r="E21" s="6" t="s">
        <v>29</v>
      </c>
      <c r="F21" s="6" t="s">
        <v>74</v>
      </c>
      <c r="G21" s="6" t="s">
        <v>75</v>
      </c>
      <c r="H21" s="8" t="n">
        <v>11977</v>
      </c>
      <c r="I21" s="6" t="s">
        <v>46</v>
      </c>
      <c r="J21" s="6"/>
    </row>
    <row r="22" customFormat="false" ht="15" hidden="false" customHeight="true" outlineLevel="0" collapsed="false">
      <c r="A22" s="3" t="s">
        <v>76</v>
      </c>
      <c r="B22" s="3" t="s">
        <v>63</v>
      </c>
      <c r="C22" s="3" t="n">
        <v>2023</v>
      </c>
      <c r="D22" s="4" t="s">
        <v>28</v>
      </c>
      <c r="E22" s="3" t="s">
        <v>33</v>
      </c>
      <c r="F22" s="3" t="s">
        <v>54</v>
      </c>
      <c r="G22" s="3" t="s">
        <v>77</v>
      </c>
      <c r="H22" s="5" t="n">
        <v>4974</v>
      </c>
      <c r="I22" s="3" t="s">
        <v>16</v>
      </c>
      <c r="J22" s="3"/>
    </row>
    <row r="23" customFormat="false" ht="15" hidden="false" customHeight="true" outlineLevel="0" collapsed="false">
      <c r="A23" s="6" t="s">
        <v>78</v>
      </c>
      <c r="B23" s="6" t="s">
        <v>63</v>
      </c>
      <c r="C23" s="6" t="n">
        <v>2023</v>
      </c>
      <c r="D23" s="7" t="s">
        <v>28</v>
      </c>
      <c r="E23" s="6" t="s">
        <v>57</v>
      </c>
      <c r="F23" s="6" t="s">
        <v>79</v>
      </c>
      <c r="G23" s="6" t="s">
        <v>80</v>
      </c>
      <c r="H23" s="8" t="n">
        <v>1993</v>
      </c>
      <c r="I23" s="6" t="s">
        <v>73</v>
      </c>
      <c r="J23" s="6"/>
    </row>
    <row r="24" customFormat="false" ht="15" hidden="false" customHeight="true" outlineLevel="0" collapsed="false">
      <c r="A24" s="3" t="s">
        <v>81</v>
      </c>
      <c r="B24" s="3" t="s">
        <v>63</v>
      </c>
      <c r="C24" s="3" t="n">
        <v>2023</v>
      </c>
      <c r="D24" s="4" t="s">
        <v>28</v>
      </c>
      <c r="E24" s="3" t="s">
        <v>37</v>
      </c>
      <c r="F24" s="3" t="s">
        <v>82</v>
      </c>
      <c r="G24" s="3" t="s">
        <v>83</v>
      </c>
      <c r="H24" s="5" t="n">
        <v>2828</v>
      </c>
      <c r="I24" s="3" t="s">
        <v>16</v>
      </c>
      <c r="J24" s="3"/>
    </row>
    <row r="25" customFormat="false" ht="15" hidden="false" customHeight="true" outlineLevel="0" collapsed="false">
      <c r="A25" s="6" t="s">
        <v>84</v>
      </c>
      <c r="B25" s="6" t="s">
        <v>85</v>
      </c>
      <c r="C25" s="6" t="n">
        <v>2023</v>
      </c>
      <c r="D25" s="7" t="s">
        <v>12</v>
      </c>
      <c r="E25" s="6" t="s">
        <v>13</v>
      </c>
      <c r="F25" s="6" t="s">
        <v>14</v>
      </c>
      <c r="G25" s="6" t="s">
        <v>15</v>
      </c>
      <c r="H25" s="8" t="n">
        <v>65000</v>
      </c>
      <c r="I25" s="6" t="s">
        <v>16</v>
      </c>
      <c r="J25" s="6"/>
    </row>
    <row r="26" customFormat="false" ht="15" hidden="false" customHeight="true" outlineLevel="0" collapsed="false">
      <c r="A26" s="3" t="s">
        <v>86</v>
      </c>
      <c r="B26" s="3" t="s">
        <v>85</v>
      </c>
      <c r="C26" s="3" t="n">
        <v>2023</v>
      </c>
      <c r="D26" s="4" t="s">
        <v>22</v>
      </c>
      <c r="E26" s="3" t="s">
        <v>23</v>
      </c>
      <c r="F26" s="3" t="s">
        <v>24</v>
      </c>
      <c r="G26" s="3" t="s">
        <v>25</v>
      </c>
      <c r="H26" s="5" t="n">
        <v>10000</v>
      </c>
      <c r="I26" s="3" t="s">
        <v>26</v>
      </c>
      <c r="J26" s="3"/>
    </row>
    <row r="27" customFormat="false" ht="15" hidden="false" customHeight="true" outlineLevel="0" collapsed="false">
      <c r="A27" s="6" t="s">
        <v>87</v>
      </c>
      <c r="B27" s="6" t="s">
        <v>85</v>
      </c>
      <c r="C27" s="6" t="n">
        <v>2023</v>
      </c>
      <c r="D27" s="7" t="s">
        <v>28</v>
      </c>
      <c r="E27" s="6" t="s">
        <v>33</v>
      </c>
      <c r="F27" s="6" t="s">
        <v>54</v>
      </c>
      <c r="G27" s="6" t="s">
        <v>88</v>
      </c>
      <c r="H27" s="8" t="n">
        <v>2970</v>
      </c>
      <c r="I27" s="6" t="s">
        <v>89</v>
      </c>
      <c r="J27" s="6"/>
    </row>
    <row r="28" customFormat="false" ht="15" hidden="false" customHeight="true" outlineLevel="0" collapsed="false">
      <c r="A28" s="3" t="s">
        <v>90</v>
      </c>
      <c r="B28" s="3" t="s">
        <v>85</v>
      </c>
      <c r="C28" s="3" t="n">
        <v>2023</v>
      </c>
      <c r="D28" s="4" t="s">
        <v>28</v>
      </c>
      <c r="E28" s="3" t="s">
        <v>57</v>
      </c>
      <c r="F28" s="3" t="s">
        <v>91</v>
      </c>
      <c r="G28" s="3" t="s">
        <v>92</v>
      </c>
      <c r="H28" s="5" t="n">
        <v>1192</v>
      </c>
      <c r="I28" s="3" t="s">
        <v>73</v>
      </c>
      <c r="J28" s="3"/>
    </row>
    <row r="29" customFormat="false" ht="15" hidden="false" customHeight="true" outlineLevel="0" collapsed="false">
      <c r="A29" s="6" t="s">
        <v>93</v>
      </c>
      <c r="B29" s="6" t="s">
        <v>85</v>
      </c>
      <c r="C29" s="6" t="n">
        <v>2023</v>
      </c>
      <c r="D29" s="7" t="s">
        <v>28</v>
      </c>
      <c r="E29" s="6" t="s">
        <v>37</v>
      </c>
      <c r="F29" s="6" t="s">
        <v>44</v>
      </c>
      <c r="G29" s="6" t="s">
        <v>94</v>
      </c>
      <c r="H29" s="8" t="n">
        <v>3254</v>
      </c>
      <c r="I29" s="6" t="s">
        <v>89</v>
      </c>
      <c r="J29" s="6"/>
    </row>
    <row r="30" customFormat="false" ht="15" hidden="false" customHeight="true" outlineLevel="0" collapsed="false">
      <c r="A30" s="3" t="s">
        <v>95</v>
      </c>
      <c r="B30" s="3" t="s">
        <v>85</v>
      </c>
      <c r="C30" s="3" t="n">
        <v>2023</v>
      </c>
      <c r="D30" s="4" t="s">
        <v>28</v>
      </c>
      <c r="E30" s="3" t="s">
        <v>40</v>
      </c>
      <c r="F30" s="3" t="s">
        <v>96</v>
      </c>
      <c r="G30" s="3" t="s">
        <v>97</v>
      </c>
      <c r="H30" s="5" t="n">
        <v>1061</v>
      </c>
      <c r="I30" s="3" t="s">
        <v>16</v>
      </c>
      <c r="J30" s="3"/>
    </row>
    <row r="31" customFormat="false" ht="15" hidden="false" customHeight="true" outlineLevel="0" collapsed="false">
      <c r="A31" s="6" t="s">
        <v>87</v>
      </c>
      <c r="B31" s="6" t="s">
        <v>85</v>
      </c>
      <c r="C31" s="6" t="n">
        <v>2023</v>
      </c>
      <c r="D31" s="7" t="s">
        <v>28</v>
      </c>
      <c r="E31" s="6" t="s">
        <v>43</v>
      </c>
      <c r="F31" s="6" t="s">
        <v>98</v>
      </c>
      <c r="G31" s="6" t="s">
        <v>99</v>
      </c>
      <c r="H31" s="8" t="n">
        <v>1513</v>
      </c>
      <c r="I31" s="6" t="s">
        <v>73</v>
      </c>
      <c r="J31" s="6"/>
    </row>
    <row r="32" customFormat="false" ht="15" hidden="false" customHeight="true" outlineLevel="0" collapsed="false">
      <c r="A32" s="3" t="s">
        <v>100</v>
      </c>
      <c r="B32" s="3" t="s">
        <v>85</v>
      </c>
      <c r="C32" s="3" t="n">
        <v>2023</v>
      </c>
      <c r="D32" s="4" t="s">
        <v>28</v>
      </c>
      <c r="E32" s="3" t="s">
        <v>101</v>
      </c>
      <c r="F32" s="3" t="s">
        <v>102</v>
      </c>
      <c r="G32" s="3" t="s">
        <v>103</v>
      </c>
      <c r="H32" s="5" t="n">
        <v>1090</v>
      </c>
      <c r="I32" s="3" t="s">
        <v>89</v>
      </c>
      <c r="J32" s="3"/>
    </row>
    <row r="33" customFormat="false" ht="15" hidden="false" customHeight="true" outlineLevel="0" collapsed="false">
      <c r="A33" s="6" t="s">
        <v>104</v>
      </c>
      <c r="B33" s="6" t="s">
        <v>105</v>
      </c>
      <c r="C33" s="6" t="n">
        <v>2023</v>
      </c>
      <c r="D33" s="7" t="s">
        <v>12</v>
      </c>
      <c r="E33" s="6" t="s">
        <v>13</v>
      </c>
      <c r="F33" s="6" t="s">
        <v>14</v>
      </c>
      <c r="G33" s="6" t="s">
        <v>15</v>
      </c>
      <c r="H33" s="8" t="n">
        <v>65000</v>
      </c>
      <c r="I33" s="6" t="s">
        <v>16</v>
      </c>
      <c r="J33" s="6"/>
    </row>
    <row r="34" customFormat="false" ht="15" hidden="false" customHeight="true" outlineLevel="0" collapsed="false">
      <c r="A34" s="3" t="s">
        <v>106</v>
      </c>
      <c r="B34" s="3" t="s">
        <v>105</v>
      </c>
      <c r="C34" s="3" t="n">
        <v>2023</v>
      </c>
      <c r="D34" s="4" t="s">
        <v>22</v>
      </c>
      <c r="E34" s="3" t="s">
        <v>23</v>
      </c>
      <c r="F34" s="3" t="s">
        <v>24</v>
      </c>
      <c r="G34" s="3" t="s">
        <v>25</v>
      </c>
      <c r="H34" s="5" t="n">
        <v>10000</v>
      </c>
      <c r="I34" s="3" t="s">
        <v>26</v>
      </c>
      <c r="J34" s="3"/>
    </row>
    <row r="35" customFormat="false" ht="15" hidden="false" customHeight="true" outlineLevel="0" collapsed="false">
      <c r="A35" s="6" t="s">
        <v>107</v>
      </c>
      <c r="B35" s="6" t="s">
        <v>105</v>
      </c>
      <c r="C35" s="6" t="n">
        <v>2023</v>
      </c>
      <c r="D35" s="7" t="s">
        <v>28</v>
      </c>
      <c r="E35" s="6" t="s">
        <v>29</v>
      </c>
      <c r="F35" s="6" t="s">
        <v>108</v>
      </c>
      <c r="G35" s="6" t="s">
        <v>109</v>
      </c>
      <c r="H35" s="8" t="n">
        <v>10119</v>
      </c>
      <c r="I35" s="6" t="s">
        <v>16</v>
      </c>
      <c r="J35" s="6"/>
    </row>
    <row r="36" customFormat="false" ht="15" hidden="false" customHeight="true" outlineLevel="0" collapsed="false">
      <c r="A36" s="3" t="s">
        <v>107</v>
      </c>
      <c r="B36" s="3" t="s">
        <v>105</v>
      </c>
      <c r="C36" s="3" t="n">
        <v>2023</v>
      </c>
      <c r="D36" s="4" t="s">
        <v>28</v>
      </c>
      <c r="E36" s="3" t="s">
        <v>33</v>
      </c>
      <c r="F36" s="3" t="s">
        <v>34</v>
      </c>
      <c r="G36" s="3" t="s">
        <v>110</v>
      </c>
      <c r="H36" s="5" t="n">
        <v>4892</v>
      </c>
      <c r="I36" s="3" t="s">
        <v>46</v>
      </c>
      <c r="J36" s="3"/>
    </row>
    <row r="37" customFormat="false" ht="15" hidden="false" customHeight="true" outlineLevel="0" collapsed="false">
      <c r="A37" s="6" t="s">
        <v>111</v>
      </c>
      <c r="B37" s="6" t="s">
        <v>105</v>
      </c>
      <c r="C37" s="6" t="n">
        <v>2023</v>
      </c>
      <c r="D37" s="7" t="s">
        <v>28</v>
      </c>
      <c r="E37" s="6" t="s">
        <v>57</v>
      </c>
      <c r="F37" s="6" t="s">
        <v>112</v>
      </c>
      <c r="G37" s="6" t="s">
        <v>113</v>
      </c>
      <c r="H37" s="8" t="n">
        <v>1128</v>
      </c>
      <c r="I37" s="6" t="s">
        <v>89</v>
      </c>
      <c r="J37" s="6"/>
    </row>
    <row r="38" customFormat="false" ht="15" hidden="false" customHeight="true" outlineLevel="0" collapsed="false">
      <c r="A38" s="3" t="s">
        <v>114</v>
      </c>
      <c r="B38" s="3" t="s">
        <v>105</v>
      </c>
      <c r="C38" s="3" t="n">
        <v>2023</v>
      </c>
      <c r="D38" s="4" t="s">
        <v>28</v>
      </c>
      <c r="E38" s="3" t="s">
        <v>40</v>
      </c>
      <c r="F38" s="3" t="s">
        <v>115</v>
      </c>
      <c r="G38" s="3" t="s">
        <v>116</v>
      </c>
      <c r="H38" s="5" t="n">
        <v>1052</v>
      </c>
      <c r="I38" s="3" t="s">
        <v>73</v>
      </c>
      <c r="J38" s="3"/>
    </row>
    <row r="39" customFormat="false" ht="15" hidden="false" customHeight="true" outlineLevel="0" collapsed="false">
      <c r="A39" s="6" t="s">
        <v>117</v>
      </c>
      <c r="B39" s="6" t="s">
        <v>105</v>
      </c>
      <c r="C39" s="6" t="n">
        <v>2023</v>
      </c>
      <c r="D39" s="7" t="s">
        <v>28</v>
      </c>
      <c r="E39" s="6" t="s">
        <v>43</v>
      </c>
      <c r="F39" s="6" t="s">
        <v>98</v>
      </c>
      <c r="G39" s="6" t="s">
        <v>118</v>
      </c>
      <c r="H39" s="8" t="n">
        <v>2982</v>
      </c>
      <c r="I39" s="6" t="s">
        <v>46</v>
      </c>
      <c r="J39" s="6"/>
    </row>
    <row r="40" customFormat="false" ht="15" hidden="false" customHeight="true" outlineLevel="0" collapsed="false">
      <c r="A40" s="3" t="s">
        <v>119</v>
      </c>
      <c r="B40" s="3" t="s">
        <v>105</v>
      </c>
      <c r="C40" s="3" t="n">
        <v>2023</v>
      </c>
      <c r="D40" s="4" t="s">
        <v>28</v>
      </c>
      <c r="E40" s="3" t="s">
        <v>101</v>
      </c>
      <c r="F40" s="3" t="s">
        <v>120</v>
      </c>
      <c r="G40" s="3" t="s">
        <v>121</v>
      </c>
      <c r="H40" s="5" t="n">
        <v>636</v>
      </c>
      <c r="I40" s="3" t="s">
        <v>73</v>
      </c>
      <c r="J40" s="3"/>
    </row>
    <row r="41" customFormat="false" ht="15" hidden="false" customHeight="true" outlineLevel="0" collapsed="false">
      <c r="A41" s="6" t="s">
        <v>122</v>
      </c>
      <c r="B41" s="6" t="s">
        <v>123</v>
      </c>
      <c r="C41" s="6" t="n">
        <v>2023</v>
      </c>
      <c r="D41" s="7" t="s">
        <v>12</v>
      </c>
      <c r="E41" s="6" t="s">
        <v>13</v>
      </c>
      <c r="F41" s="6" t="s">
        <v>14</v>
      </c>
      <c r="G41" s="6" t="s">
        <v>15</v>
      </c>
      <c r="H41" s="8" t="n">
        <v>65000</v>
      </c>
      <c r="I41" s="6" t="s">
        <v>16</v>
      </c>
      <c r="J41" s="6"/>
    </row>
    <row r="42" customFormat="false" ht="15" hidden="false" customHeight="true" outlineLevel="0" collapsed="false">
      <c r="A42" s="3" t="s">
        <v>124</v>
      </c>
      <c r="B42" s="3" t="s">
        <v>123</v>
      </c>
      <c r="C42" s="3" t="n">
        <v>2023</v>
      </c>
      <c r="D42" s="4" t="s">
        <v>22</v>
      </c>
      <c r="E42" s="3" t="s">
        <v>23</v>
      </c>
      <c r="F42" s="3" t="s">
        <v>24</v>
      </c>
      <c r="G42" s="3" t="s">
        <v>25</v>
      </c>
      <c r="H42" s="5" t="n">
        <v>10000</v>
      </c>
      <c r="I42" s="3" t="s">
        <v>26</v>
      </c>
      <c r="J42" s="3"/>
    </row>
    <row r="43" customFormat="false" ht="15" hidden="false" customHeight="true" outlineLevel="0" collapsed="false">
      <c r="A43" s="6" t="s">
        <v>125</v>
      </c>
      <c r="B43" s="6" t="s">
        <v>123</v>
      </c>
      <c r="C43" s="6" t="n">
        <v>2023</v>
      </c>
      <c r="D43" s="7" t="s">
        <v>22</v>
      </c>
      <c r="E43" s="6" t="s">
        <v>70</v>
      </c>
      <c r="F43" s="6" t="s">
        <v>71</v>
      </c>
      <c r="G43" s="6" t="s">
        <v>72</v>
      </c>
      <c r="H43" s="8" t="n">
        <v>5000</v>
      </c>
      <c r="I43" s="6" t="s">
        <v>73</v>
      </c>
      <c r="J43" s="6"/>
    </row>
    <row r="44" customFormat="false" ht="15" hidden="false" customHeight="true" outlineLevel="0" collapsed="false">
      <c r="A44" s="3" t="s">
        <v>126</v>
      </c>
      <c r="B44" s="3" t="s">
        <v>123</v>
      </c>
      <c r="C44" s="3" t="n">
        <v>2023</v>
      </c>
      <c r="D44" s="4" t="s">
        <v>28</v>
      </c>
      <c r="E44" s="3" t="s">
        <v>29</v>
      </c>
      <c r="F44" s="3" t="s">
        <v>108</v>
      </c>
      <c r="G44" s="3" t="s">
        <v>127</v>
      </c>
      <c r="H44" s="5" t="n">
        <v>6009</v>
      </c>
      <c r="I44" s="3" t="s">
        <v>46</v>
      </c>
      <c r="J44" s="3"/>
    </row>
    <row r="45" customFormat="false" ht="15" hidden="false" customHeight="true" outlineLevel="0" collapsed="false">
      <c r="A45" s="6" t="s">
        <v>128</v>
      </c>
      <c r="B45" s="6" t="s">
        <v>123</v>
      </c>
      <c r="C45" s="6" t="n">
        <v>2023</v>
      </c>
      <c r="D45" s="7" t="s">
        <v>28</v>
      </c>
      <c r="E45" s="6" t="s">
        <v>33</v>
      </c>
      <c r="F45" s="6" t="s">
        <v>34</v>
      </c>
      <c r="G45" s="6" t="s">
        <v>129</v>
      </c>
      <c r="H45" s="8" t="n">
        <v>3586</v>
      </c>
      <c r="I45" s="6" t="s">
        <v>46</v>
      </c>
      <c r="J45" s="6"/>
    </row>
    <row r="46" customFormat="false" ht="15" hidden="false" customHeight="true" outlineLevel="0" collapsed="false">
      <c r="A46" s="3" t="s">
        <v>130</v>
      </c>
      <c r="B46" s="3" t="s">
        <v>123</v>
      </c>
      <c r="C46" s="3" t="n">
        <v>2023</v>
      </c>
      <c r="D46" s="4" t="s">
        <v>28</v>
      </c>
      <c r="E46" s="3" t="s">
        <v>37</v>
      </c>
      <c r="F46" s="3" t="s">
        <v>38</v>
      </c>
      <c r="G46" s="3" t="s">
        <v>131</v>
      </c>
      <c r="H46" s="5" t="n">
        <v>1850</v>
      </c>
      <c r="I46" s="3" t="s">
        <v>89</v>
      </c>
      <c r="J46" s="3"/>
    </row>
    <row r="47" customFormat="false" ht="15" hidden="false" customHeight="true" outlineLevel="0" collapsed="false">
      <c r="A47" s="6" t="s">
        <v>132</v>
      </c>
      <c r="B47" s="6" t="s">
        <v>123</v>
      </c>
      <c r="C47" s="6" t="n">
        <v>2023</v>
      </c>
      <c r="D47" s="7" t="s">
        <v>28</v>
      </c>
      <c r="E47" s="6" t="s">
        <v>40</v>
      </c>
      <c r="F47" s="6" t="s">
        <v>96</v>
      </c>
      <c r="G47" s="6" t="s">
        <v>133</v>
      </c>
      <c r="H47" s="8" t="n">
        <v>671</v>
      </c>
      <c r="I47" s="6" t="s">
        <v>89</v>
      </c>
      <c r="J47" s="6"/>
    </row>
    <row r="48" customFormat="false" ht="15" hidden="false" customHeight="true" outlineLevel="0" collapsed="false">
      <c r="A48" s="3" t="s">
        <v>134</v>
      </c>
      <c r="B48" s="3" t="s">
        <v>123</v>
      </c>
      <c r="C48" s="3" t="n">
        <v>2023</v>
      </c>
      <c r="D48" s="4" t="s">
        <v>28</v>
      </c>
      <c r="E48" s="3" t="s">
        <v>43</v>
      </c>
      <c r="F48" s="3" t="s">
        <v>44</v>
      </c>
      <c r="G48" s="3" t="s">
        <v>135</v>
      </c>
      <c r="H48" s="5" t="n">
        <v>1742</v>
      </c>
      <c r="I48" s="3" t="s">
        <v>26</v>
      </c>
      <c r="J48" s="3"/>
    </row>
    <row r="49" customFormat="false" ht="15" hidden="false" customHeight="true" outlineLevel="0" collapsed="false">
      <c r="A49" s="6" t="s">
        <v>136</v>
      </c>
      <c r="B49" s="6" t="s">
        <v>123</v>
      </c>
      <c r="C49" s="6" t="n">
        <v>2023</v>
      </c>
      <c r="D49" s="7" t="s">
        <v>28</v>
      </c>
      <c r="E49" s="6" t="s">
        <v>101</v>
      </c>
      <c r="F49" s="6" t="s">
        <v>120</v>
      </c>
      <c r="G49" s="6" t="s">
        <v>137</v>
      </c>
      <c r="H49" s="8" t="n">
        <v>1032</v>
      </c>
      <c r="I49" s="6" t="s">
        <v>73</v>
      </c>
      <c r="J49" s="6"/>
    </row>
    <row r="50" customFormat="false" ht="15" hidden="false" customHeight="true" outlineLevel="0" collapsed="false">
      <c r="A50" s="3" t="s">
        <v>138</v>
      </c>
      <c r="B50" s="3" t="s">
        <v>139</v>
      </c>
      <c r="C50" s="3" t="n">
        <v>2023</v>
      </c>
      <c r="D50" s="4" t="s">
        <v>12</v>
      </c>
      <c r="E50" s="3" t="s">
        <v>13</v>
      </c>
      <c r="F50" s="3" t="s">
        <v>14</v>
      </c>
      <c r="G50" s="3" t="s">
        <v>15</v>
      </c>
      <c r="H50" s="5" t="n">
        <v>65000</v>
      </c>
      <c r="I50" s="3" t="s">
        <v>16</v>
      </c>
      <c r="J50" s="3"/>
    </row>
    <row r="51" customFormat="false" ht="15" hidden="false" customHeight="true" outlineLevel="0" collapsed="false">
      <c r="A51" s="6" t="s">
        <v>140</v>
      </c>
      <c r="B51" s="6" t="s">
        <v>139</v>
      </c>
      <c r="C51" s="6" t="n">
        <v>2023</v>
      </c>
      <c r="D51" s="7" t="s">
        <v>12</v>
      </c>
      <c r="E51" s="6" t="s">
        <v>18</v>
      </c>
      <c r="F51" s="6" t="s">
        <v>19</v>
      </c>
      <c r="G51" s="6" t="s">
        <v>20</v>
      </c>
      <c r="H51" s="8" t="n">
        <v>11537</v>
      </c>
      <c r="I51" s="6" t="s">
        <v>16</v>
      </c>
      <c r="J51" s="6"/>
    </row>
    <row r="52" customFormat="false" ht="15" hidden="false" customHeight="true" outlineLevel="0" collapsed="false">
      <c r="A52" s="3" t="s">
        <v>141</v>
      </c>
      <c r="B52" s="3" t="s">
        <v>139</v>
      </c>
      <c r="C52" s="3" t="n">
        <v>2023</v>
      </c>
      <c r="D52" s="4" t="s">
        <v>22</v>
      </c>
      <c r="E52" s="3" t="s">
        <v>23</v>
      </c>
      <c r="F52" s="3" t="s">
        <v>24</v>
      </c>
      <c r="G52" s="3" t="s">
        <v>25</v>
      </c>
      <c r="H52" s="5" t="n">
        <v>10000</v>
      </c>
      <c r="I52" s="3" t="s">
        <v>26</v>
      </c>
      <c r="J52" s="3"/>
    </row>
    <row r="53" customFormat="false" ht="15" hidden="false" customHeight="true" outlineLevel="0" collapsed="false">
      <c r="A53" s="6" t="s">
        <v>142</v>
      </c>
      <c r="B53" s="6" t="s">
        <v>139</v>
      </c>
      <c r="C53" s="6" t="n">
        <v>2023</v>
      </c>
      <c r="D53" s="7" t="s">
        <v>28</v>
      </c>
      <c r="E53" s="6" t="s">
        <v>29</v>
      </c>
      <c r="F53" s="6" t="s">
        <v>143</v>
      </c>
      <c r="G53" s="6" t="s">
        <v>144</v>
      </c>
      <c r="H53" s="8" t="n">
        <v>13177</v>
      </c>
      <c r="I53" s="6" t="s">
        <v>89</v>
      </c>
      <c r="J53" s="6"/>
    </row>
    <row r="54" customFormat="false" ht="15" hidden="false" customHeight="true" outlineLevel="0" collapsed="false">
      <c r="A54" s="3" t="s">
        <v>145</v>
      </c>
      <c r="B54" s="3" t="s">
        <v>139</v>
      </c>
      <c r="C54" s="3" t="n">
        <v>2023</v>
      </c>
      <c r="D54" s="4" t="s">
        <v>28</v>
      </c>
      <c r="E54" s="3" t="s">
        <v>37</v>
      </c>
      <c r="F54" s="3" t="s">
        <v>82</v>
      </c>
      <c r="G54" s="3" t="s">
        <v>146</v>
      </c>
      <c r="H54" s="5" t="n">
        <v>2402</v>
      </c>
      <c r="I54" s="3" t="s">
        <v>16</v>
      </c>
      <c r="J54" s="3"/>
    </row>
    <row r="55" customFormat="false" ht="15" hidden="false" customHeight="true" outlineLevel="0" collapsed="false">
      <c r="A55" s="6" t="s">
        <v>147</v>
      </c>
      <c r="B55" s="6" t="s">
        <v>139</v>
      </c>
      <c r="C55" s="6" t="n">
        <v>2023</v>
      </c>
      <c r="D55" s="7" t="s">
        <v>28</v>
      </c>
      <c r="E55" s="6" t="s">
        <v>40</v>
      </c>
      <c r="F55" s="6" t="s">
        <v>148</v>
      </c>
      <c r="G55" s="6" t="s">
        <v>149</v>
      </c>
      <c r="H55" s="8" t="n">
        <v>774</v>
      </c>
      <c r="I55" s="6" t="s">
        <v>16</v>
      </c>
      <c r="J55" s="6"/>
    </row>
    <row r="56" customFormat="false" ht="15" hidden="false" customHeight="true" outlineLevel="0" collapsed="false">
      <c r="A56" s="3" t="s">
        <v>150</v>
      </c>
      <c r="B56" s="3" t="s">
        <v>139</v>
      </c>
      <c r="C56" s="3" t="n">
        <v>2023</v>
      </c>
      <c r="D56" s="4" t="s">
        <v>28</v>
      </c>
      <c r="E56" s="3" t="s">
        <v>43</v>
      </c>
      <c r="F56" s="3" t="s">
        <v>98</v>
      </c>
      <c r="G56" s="3" t="s">
        <v>151</v>
      </c>
      <c r="H56" s="5" t="n">
        <v>2252</v>
      </c>
      <c r="I56" s="3" t="s">
        <v>46</v>
      </c>
      <c r="J56" s="3"/>
    </row>
    <row r="57" customFormat="false" ht="15" hidden="false" customHeight="true" outlineLevel="0" collapsed="false">
      <c r="A57" s="6" t="s">
        <v>152</v>
      </c>
      <c r="B57" s="6" t="s">
        <v>139</v>
      </c>
      <c r="C57" s="6" t="n">
        <v>2023</v>
      </c>
      <c r="D57" s="7" t="s">
        <v>28</v>
      </c>
      <c r="E57" s="6" t="s">
        <v>101</v>
      </c>
      <c r="F57" s="6" t="s">
        <v>120</v>
      </c>
      <c r="G57" s="6" t="s">
        <v>153</v>
      </c>
      <c r="H57" s="8" t="n">
        <v>1032</v>
      </c>
      <c r="I57" s="6" t="s">
        <v>26</v>
      </c>
      <c r="J57" s="6"/>
    </row>
    <row r="58" customFormat="false" ht="15" hidden="false" customHeight="true" outlineLevel="0" collapsed="false">
      <c r="A58" s="3" t="s">
        <v>154</v>
      </c>
      <c r="B58" s="3" t="s">
        <v>155</v>
      </c>
      <c r="C58" s="3" t="n">
        <v>2023</v>
      </c>
      <c r="D58" s="4" t="s">
        <v>12</v>
      </c>
      <c r="E58" s="3" t="s">
        <v>13</v>
      </c>
      <c r="F58" s="3" t="s">
        <v>14</v>
      </c>
      <c r="G58" s="3" t="s">
        <v>15</v>
      </c>
      <c r="H58" s="5" t="n">
        <v>65000</v>
      </c>
      <c r="I58" s="3" t="s">
        <v>16</v>
      </c>
      <c r="J58" s="3"/>
    </row>
    <row r="59" customFormat="false" ht="15" hidden="false" customHeight="true" outlineLevel="0" collapsed="false">
      <c r="A59" s="6" t="s">
        <v>156</v>
      </c>
      <c r="B59" s="6" t="s">
        <v>155</v>
      </c>
      <c r="C59" s="6" t="n">
        <v>2023</v>
      </c>
      <c r="D59" s="7" t="s">
        <v>12</v>
      </c>
      <c r="E59" s="6" t="s">
        <v>18</v>
      </c>
      <c r="F59" s="6" t="s">
        <v>19</v>
      </c>
      <c r="G59" s="6" t="s">
        <v>20</v>
      </c>
      <c r="H59" s="8" t="n">
        <v>8981</v>
      </c>
      <c r="I59" s="6" t="s">
        <v>16</v>
      </c>
      <c r="J59" s="6"/>
    </row>
    <row r="60" customFormat="false" ht="15" hidden="false" customHeight="true" outlineLevel="0" collapsed="false">
      <c r="A60" s="3" t="s">
        <v>157</v>
      </c>
      <c r="B60" s="3" t="s">
        <v>155</v>
      </c>
      <c r="C60" s="3" t="n">
        <v>2023</v>
      </c>
      <c r="D60" s="4" t="s">
        <v>22</v>
      </c>
      <c r="E60" s="3" t="s">
        <v>23</v>
      </c>
      <c r="F60" s="3" t="s">
        <v>24</v>
      </c>
      <c r="G60" s="3" t="s">
        <v>25</v>
      </c>
      <c r="H60" s="5" t="n">
        <v>10000</v>
      </c>
      <c r="I60" s="3" t="s">
        <v>26</v>
      </c>
      <c r="J60" s="3"/>
    </row>
    <row r="61" customFormat="false" ht="15" hidden="false" customHeight="true" outlineLevel="0" collapsed="false">
      <c r="A61" s="6" t="s">
        <v>158</v>
      </c>
      <c r="B61" s="6" t="s">
        <v>155</v>
      </c>
      <c r="C61" s="6" t="n">
        <v>2023</v>
      </c>
      <c r="D61" s="7" t="s">
        <v>28</v>
      </c>
      <c r="E61" s="6" t="s">
        <v>29</v>
      </c>
      <c r="F61" s="6" t="s">
        <v>74</v>
      </c>
      <c r="G61" s="6" t="s">
        <v>159</v>
      </c>
      <c r="H61" s="8" t="n">
        <v>9119</v>
      </c>
      <c r="I61" s="6" t="s">
        <v>16</v>
      </c>
      <c r="J61" s="6"/>
    </row>
    <row r="62" customFormat="false" ht="15" hidden="false" customHeight="true" outlineLevel="0" collapsed="false">
      <c r="A62" s="3" t="s">
        <v>160</v>
      </c>
      <c r="B62" s="3" t="s">
        <v>155</v>
      </c>
      <c r="C62" s="3" t="n">
        <v>2023</v>
      </c>
      <c r="D62" s="4" t="s">
        <v>28</v>
      </c>
      <c r="E62" s="3" t="s">
        <v>33</v>
      </c>
      <c r="F62" s="3" t="s">
        <v>54</v>
      </c>
      <c r="G62" s="3" t="s">
        <v>161</v>
      </c>
      <c r="H62" s="5" t="n">
        <v>3834</v>
      </c>
      <c r="I62" s="3" t="s">
        <v>89</v>
      </c>
      <c r="J62" s="3"/>
    </row>
    <row r="63" customFormat="false" ht="15" hidden="false" customHeight="true" outlineLevel="0" collapsed="false">
      <c r="A63" s="6" t="s">
        <v>162</v>
      </c>
      <c r="B63" s="6" t="s">
        <v>155</v>
      </c>
      <c r="C63" s="6" t="n">
        <v>2023</v>
      </c>
      <c r="D63" s="7" t="s">
        <v>28</v>
      </c>
      <c r="E63" s="6" t="s">
        <v>57</v>
      </c>
      <c r="F63" s="6" t="s">
        <v>58</v>
      </c>
      <c r="G63" s="6" t="s">
        <v>163</v>
      </c>
      <c r="H63" s="8" t="n">
        <v>2238</v>
      </c>
      <c r="I63" s="6" t="s">
        <v>16</v>
      </c>
      <c r="J63" s="6"/>
    </row>
    <row r="64" customFormat="false" ht="15" hidden="false" customHeight="true" outlineLevel="0" collapsed="false">
      <c r="A64" s="3" t="s">
        <v>164</v>
      </c>
      <c r="B64" s="3" t="s">
        <v>155</v>
      </c>
      <c r="C64" s="3" t="n">
        <v>2023</v>
      </c>
      <c r="D64" s="4" t="s">
        <v>28</v>
      </c>
      <c r="E64" s="3" t="s">
        <v>37</v>
      </c>
      <c r="F64" s="3" t="s">
        <v>38</v>
      </c>
      <c r="G64" s="3" t="s">
        <v>165</v>
      </c>
      <c r="H64" s="5" t="n">
        <v>2518</v>
      </c>
      <c r="I64" s="3" t="s">
        <v>73</v>
      </c>
      <c r="J64" s="3"/>
    </row>
    <row r="65" customFormat="false" ht="15" hidden="false" customHeight="true" outlineLevel="0" collapsed="false">
      <c r="A65" s="6" t="s">
        <v>157</v>
      </c>
      <c r="B65" s="6" t="s">
        <v>155</v>
      </c>
      <c r="C65" s="6" t="n">
        <v>2023</v>
      </c>
      <c r="D65" s="7" t="s">
        <v>28</v>
      </c>
      <c r="E65" s="6" t="s">
        <v>40</v>
      </c>
      <c r="F65" s="6" t="s">
        <v>96</v>
      </c>
      <c r="G65" s="6" t="s">
        <v>166</v>
      </c>
      <c r="H65" s="8" t="n">
        <v>972</v>
      </c>
      <c r="I65" s="6" t="s">
        <v>46</v>
      </c>
      <c r="J65" s="6"/>
    </row>
    <row r="66" customFormat="false" ht="15" hidden="false" customHeight="true" outlineLevel="0" collapsed="false">
      <c r="A66" s="3" t="s">
        <v>167</v>
      </c>
      <c r="B66" s="3" t="s">
        <v>155</v>
      </c>
      <c r="C66" s="3" t="n">
        <v>2023</v>
      </c>
      <c r="D66" s="4" t="s">
        <v>28</v>
      </c>
      <c r="E66" s="3" t="s">
        <v>43</v>
      </c>
      <c r="F66" s="3" t="s">
        <v>98</v>
      </c>
      <c r="G66" s="3" t="s">
        <v>168</v>
      </c>
      <c r="H66" s="5" t="n">
        <v>2107</v>
      </c>
      <c r="I66" s="3" t="s">
        <v>26</v>
      </c>
      <c r="J66" s="3"/>
    </row>
    <row r="67" customFormat="false" ht="15" hidden="false" customHeight="true" outlineLevel="0" collapsed="false">
      <c r="A67" s="6" t="s">
        <v>169</v>
      </c>
      <c r="B67" s="6" t="s">
        <v>170</v>
      </c>
      <c r="C67" s="6" t="n">
        <v>2023</v>
      </c>
      <c r="D67" s="7" t="s">
        <v>12</v>
      </c>
      <c r="E67" s="6" t="s">
        <v>13</v>
      </c>
      <c r="F67" s="6" t="s">
        <v>14</v>
      </c>
      <c r="G67" s="6" t="s">
        <v>15</v>
      </c>
      <c r="H67" s="8" t="n">
        <v>65000</v>
      </c>
      <c r="I67" s="6" t="s">
        <v>16</v>
      </c>
      <c r="J67" s="6"/>
    </row>
    <row r="68" customFormat="false" ht="15" hidden="false" customHeight="true" outlineLevel="0" collapsed="false">
      <c r="A68" s="3" t="s">
        <v>171</v>
      </c>
      <c r="B68" s="3" t="s">
        <v>170</v>
      </c>
      <c r="C68" s="3" t="n">
        <v>2023</v>
      </c>
      <c r="D68" s="4" t="s">
        <v>12</v>
      </c>
      <c r="E68" s="3" t="s">
        <v>13</v>
      </c>
      <c r="F68" s="3" t="s">
        <v>65</v>
      </c>
      <c r="G68" s="3" t="s">
        <v>66</v>
      </c>
      <c r="H68" s="5" t="n">
        <v>18856</v>
      </c>
      <c r="I68" s="3" t="s">
        <v>16</v>
      </c>
      <c r="J68" s="3"/>
    </row>
    <row r="69" customFormat="false" ht="15" hidden="false" customHeight="true" outlineLevel="0" collapsed="false">
      <c r="A69" s="6" t="s">
        <v>172</v>
      </c>
      <c r="B69" s="6" t="s">
        <v>170</v>
      </c>
      <c r="C69" s="6" t="n">
        <v>2023</v>
      </c>
      <c r="D69" s="7" t="s">
        <v>12</v>
      </c>
      <c r="E69" s="6" t="s">
        <v>18</v>
      </c>
      <c r="F69" s="6" t="s">
        <v>19</v>
      </c>
      <c r="G69" s="6" t="s">
        <v>20</v>
      </c>
      <c r="H69" s="8" t="n">
        <v>6528</v>
      </c>
      <c r="I69" s="6" t="s">
        <v>16</v>
      </c>
      <c r="J69" s="6"/>
    </row>
    <row r="70" customFormat="false" ht="15" hidden="false" customHeight="true" outlineLevel="0" collapsed="false">
      <c r="A70" s="3" t="s">
        <v>173</v>
      </c>
      <c r="B70" s="3" t="s">
        <v>170</v>
      </c>
      <c r="C70" s="3" t="n">
        <v>2023</v>
      </c>
      <c r="D70" s="4" t="s">
        <v>22</v>
      </c>
      <c r="E70" s="3" t="s">
        <v>23</v>
      </c>
      <c r="F70" s="3" t="s">
        <v>24</v>
      </c>
      <c r="G70" s="3" t="s">
        <v>25</v>
      </c>
      <c r="H70" s="5" t="n">
        <v>10000</v>
      </c>
      <c r="I70" s="3" t="s">
        <v>26</v>
      </c>
      <c r="J70" s="3"/>
    </row>
    <row r="71" customFormat="false" ht="15" hidden="false" customHeight="true" outlineLevel="0" collapsed="false">
      <c r="A71" s="6" t="s">
        <v>174</v>
      </c>
      <c r="B71" s="6" t="s">
        <v>170</v>
      </c>
      <c r="C71" s="6" t="n">
        <v>2023</v>
      </c>
      <c r="D71" s="7" t="s">
        <v>22</v>
      </c>
      <c r="E71" s="6" t="s">
        <v>70</v>
      </c>
      <c r="F71" s="6" t="s">
        <v>71</v>
      </c>
      <c r="G71" s="6" t="s">
        <v>72</v>
      </c>
      <c r="H71" s="8" t="n">
        <v>5000</v>
      </c>
      <c r="I71" s="6" t="s">
        <v>73</v>
      </c>
      <c r="J71" s="6"/>
    </row>
    <row r="72" customFormat="false" ht="15" hidden="false" customHeight="true" outlineLevel="0" collapsed="false">
      <c r="A72" s="3" t="s">
        <v>175</v>
      </c>
      <c r="B72" s="3" t="s">
        <v>170</v>
      </c>
      <c r="C72" s="3" t="n">
        <v>2023</v>
      </c>
      <c r="D72" s="4" t="s">
        <v>28</v>
      </c>
      <c r="E72" s="3" t="s">
        <v>29</v>
      </c>
      <c r="F72" s="3" t="s">
        <v>30</v>
      </c>
      <c r="G72" s="3" t="s">
        <v>176</v>
      </c>
      <c r="H72" s="5" t="n">
        <v>8724</v>
      </c>
      <c r="I72" s="3" t="s">
        <v>89</v>
      </c>
      <c r="J72" s="3"/>
    </row>
    <row r="73" customFormat="false" ht="15" hidden="false" customHeight="true" outlineLevel="0" collapsed="false">
      <c r="A73" s="6" t="s">
        <v>173</v>
      </c>
      <c r="B73" s="6" t="s">
        <v>170</v>
      </c>
      <c r="C73" s="6" t="n">
        <v>2023</v>
      </c>
      <c r="D73" s="7" t="s">
        <v>28</v>
      </c>
      <c r="E73" s="6" t="s">
        <v>33</v>
      </c>
      <c r="F73" s="6" t="s">
        <v>177</v>
      </c>
      <c r="G73" s="6" t="s">
        <v>178</v>
      </c>
      <c r="H73" s="8" t="n">
        <v>2340</v>
      </c>
      <c r="I73" s="6" t="s">
        <v>89</v>
      </c>
      <c r="J73" s="6"/>
    </row>
    <row r="74" customFormat="false" ht="15" hidden="false" customHeight="true" outlineLevel="0" collapsed="false">
      <c r="A74" s="3" t="s">
        <v>175</v>
      </c>
      <c r="B74" s="3" t="s">
        <v>170</v>
      </c>
      <c r="C74" s="3" t="n">
        <v>2023</v>
      </c>
      <c r="D74" s="4" t="s">
        <v>28</v>
      </c>
      <c r="E74" s="3" t="s">
        <v>179</v>
      </c>
      <c r="F74" s="3" t="s">
        <v>180</v>
      </c>
      <c r="G74" s="3" t="s">
        <v>181</v>
      </c>
      <c r="H74" s="5" t="n">
        <v>1304</v>
      </c>
      <c r="I74" s="3" t="s">
        <v>26</v>
      </c>
      <c r="J74" s="3"/>
    </row>
    <row r="75" customFormat="false" ht="15" hidden="false" customHeight="true" outlineLevel="0" collapsed="false">
      <c r="A75" s="6" t="s">
        <v>174</v>
      </c>
      <c r="B75" s="6" t="s">
        <v>170</v>
      </c>
      <c r="C75" s="6" t="n">
        <v>2023</v>
      </c>
      <c r="D75" s="7" t="s">
        <v>28</v>
      </c>
      <c r="E75" s="6" t="s">
        <v>37</v>
      </c>
      <c r="F75" s="6" t="s">
        <v>182</v>
      </c>
      <c r="G75" s="6" t="s">
        <v>183</v>
      </c>
      <c r="H75" s="8" t="n">
        <v>2134</v>
      </c>
      <c r="I75" s="6" t="s">
        <v>46</v>
      </c>
      <c r="J75" s="6"/>
    </row>
    <row r="76" customFormat="false" ht="15" hidden="false" customHeight="true" outlineLevel="0" collapsed="false">
      <c r="A76" s="3" t="s">
        <v>184</v>
      </c>
      <c r="B76" s="3" t="s">
        <v>170</v>
      </c>
      <c r="C76" s="3" t="n">
        <v>2023</v>
      </c>
      <c r="D76" s="4" t="s">
        <v>28</v>
      </c>
      <c r="E76" s="3" t="s">
        <v>101</v>
      </c>
      <c r="F76" s="3" t="s">
        <v>185</v>
      </c>
      <c r="G76" s="3" t="s">
        <v>186</v>
      </c>
      <c r="H76" s="5" t="n">
        <v>801</v>
      </c>
      <c r="I76" s="3" t="s">
        <v>16</v>
      </c>
      <c r="J76" s="3"/>
    </row>
    <row r="77" customFormat="false" ht="15" hidden="false" customHeight="true" outlineLevel="0" collapsed="false">
      <c r="A77" s="6" t="s">
        <v>187</v>
      </c>
      <c r="B77" s="6" t="s">
        <v>188</v>
      </c>
      <c r="C77" s="6" t="n">
        <v>2023</v>
      </c>
      <c r="D77" s="7" t="s">
        <v>12</v>
      </c>
      <c r="E77" s="6" t="s">
        <v>13</v>
      </c>
      <c r="F77" s="6" t="s">
        <v>14</v>
      </c>
      <c r="G77" s="6" t="s">
        <v>15</v>
      </c>
      <c r="H77" s="8" t="n">
        <v>65000</v>
      </c>
      <c r="I77" s="6" t="s">
        <v>16</v>
      </c>
      <c r="J77" s="6"/>
    </row>
    <row r="78" customFormat="false" ht="15" hidden="false" customHeight="true" outlineLevel="0" collapsed="false">
      <c r="A78" s="3" t="s">
        <v>189</v>
      </c>
      <c r="B78" s="3" t="s">
        <v>188</v>
      </c>
      <c r="C78" s="3" t="n">
        <v>2023</v>
      </c>
      <c r="D78" s="4" t="s">
        <v>12</v>
      </c>
      <c r="E78" s="3" t="s">
        <v>18</v>
      </c>
      <c r="F78" s="3" t="s">
        <v>19</v>
      </c>
      <c r="G78" s="3" t="s">
        <v>20</v>
      </c>
      <c r="H78" s="5" t="n">
        <v>13238</v>
      </c>
      <c r="I78" s="3" t="s">
        <v>16</v>
      </c>
      <c r="J78" s="3"/>
    </row>
    <row r="79" customFormat="false" ht="15" hidden="false" customHeight="true" outlineLevel="0" collapsed="false">
      <c r="A79" s="6" t="s">
        <v>190</v>
      </c>
      <c r="B79" s="6" t="s">
        <v>188</v>
      </c>
      <c r="C79" s="6" t="n">
        <v>2023</v>
      </c>
      <c r="D79" s="7" t="s">
        <v>22</v>
      </c>
      <c r="E79" s="6" t="s">
        <v>23</v>
      </c>
      <c r="F79" s="6" t="s">
        <v>24</v>
      </c>
      <c r="G79" s="6" t="s">
        <v>25</v>
      </c>
      <c r="H79" s="8" t="n">
        <v>10000</v>
      </c>
      <c r="I79" s="6" t="s">
        <v>26</v>
      </c>
      <c r="J79" s="6"/>
    </row>
    <row r="80" customFormat="false" ht="15" hidden="false" customHeight="true" outlineLevel="0" collapsed="false">
      <c r="A80" s="3" t="s">
        <v>191</v>
      </c>
      <c r="B80" s="3" t="s">
        <v>188</v>
      </c>
      <c r="C80" s="3" t="n">
        <v>2023</v>
      </c>
      <c r="D80" s="4" t="s">
        <v>28</v>
      </c>
      <c r="E80" s="3" t="s">
        <v>29</v>
      </c>
      <c r="F80" s="3" t="s">
        <v>108</v>
      </c>
      <c r="G80" s="3" t="s">
        <v>192</v>
      </c>
      <c r="H80" s="5" t="n">
        <v>8579</v>
      </c>
      <c r="I80" s="3" t="s">
        <v>26</v>
      </c>
      <c r="J80" s="3"/>
    </row>
    <row r="81" customFormat="false" ht="15" hidden="false" customHeight="true" outlineLevel="0" collapsed="false">
      <c r="A81" s="6" t="s">
        <v>193</v>
      </c>
      <c r="B81" s="6" t="s">
        <v>188</v>
      </c>
      <c r="C81" s="6" t="n">
        <v>2023</v>
      </c>
      <c r="D81" s="7" t="s">
        <v>28</v>
      </c>
      <c r="E81" s="6" t="s">
        <v>179</v>
      </c>
      <c r="F81" s="6" t="s">
        <v>194</v>
      </c>
      <c r="G81" s="6" t="s">
        <v>195</v>
      </c>
      <c r="H81" s="8" t="n">
        <v>1546</v>
      </c>
      <c r="I81" s="6" t="s">
        <v>26</v>
      </c>
      <c r="J81" s="6"/>
    </row>
    <row r="82" customFormat="false" ht="15" hidden="false" customHeight="true" outlineLevel="0" collapsed="false">
      <c r="A82" s="3" t="s">
        <v>196</v>
      </c>
      <c r="B82" s="3" t="s">
        <v>188</v>
      </c>
      <c r="C82" s="3" t="n">
        <v>2023</v>
      </c>
      <c r="D82" s="4" t="s">
        <v>28</v>
      </c>
      <c r="E82" s="3" t="s">
        <v>40</v>
      </c>
      <c r="F82" s="3" t="s">
        <v>148</v>
      </c>
      <c r="G82" s="3" t="s">
        <v>197</v>
      </c>
      <c r="H82" s="5" t="n">
        <v>969</v>
      </c>
      <c r="I82" s="3" t="s">
        <v>26</v>
      </c>
      <c r="J82" s="3"/>
    </row>
    <row r="83" customFormat="false" ht="15" hidden="false" customHeight="true" outlineLevel="0" collapsed="false">
      <c r="A83" s="6" t="s">
        <v>198</v>
      </c>
      <c r="B83" s="6" t="s">
        <v>188</v>
      </c>
      <c r="C83" s="6" t="n">
        <v>2023</v>
      </c>
      <c r="D83" s="7" t="s">
        <v>28</v>
      </c>
      <c r="E83" s="6" t="s">
        <v>43</v>
      </c>
      <c r="F83" s="6" t="s">
        <v>199</v>
      </c>
      <c r="G83" s="6" t="s">
        <v>200</v>
      </c>
      <c r="H83" s="8" t="n">
        <v>1734</v>
      </c>
      <c r="I83" s="6" t="s">
        <v>46</v>
      </c>
      <c r="J83" s="6"/>
    </row>
    <row r="84" customFormat="false" ht="15" hidden="false" customHeight="true" outlineLevel="0" collapsed="false">
      <c r="A84" s="3" t="s">
        <v>201</v>
      </c>
      <c r="B84" s="3" t="s">
        <v>202</v>
      </c>
      <c r="C84" s="3" t="n">
        <v>2023</v>
      </c>
      <c r="D84" s="4" t="s">
        <v>12</v>
      </c>
      <c r="E84" s="3" t="s">
        <v>13</v>
      </c>
      <c r="F84" s="3" t="s">
        <v>14</v>
      </c>
      <c r="G84" s="3" t="s">
        <v>15</v>
      </c>
      <c r="H84" s="5" t="n">
        <v>65000</v>
      </c>
      <c r="I84" s="3" t="s">
        <v>16</v>
      </c>
      <c r="J84" s="3"/>
    </row>
    <row r="85" customFormat="false" ht="15" hidden="false" customHeight="true" outlineLevel="0" collapsed="false">
      <c r="A85" s="6" t="s">
        <v>203</v>
      </c>
      <c r="B85" s="6" t="s">
        <v>202</v>
      </c>
      <c r="C85" s="6" t="n">
        <v>2023</v>
      </c>
      <c r="D85" s="7" t="s">
        <v>22</v>
      </c>
      <c r="E85" s="6" t="s">
        <v>23</v>
      </c>
      <c r="F85" s="6" t="s">
        <v>24</v>
      </c>
      <c r="G85" s="6" t="s">
        <v>25</v>
      </c>
      <c r="H85" s="8" t="n">
        <v>10000</v>
      </c>
      <c r="I85" s="6" t="s">
        <v>26</v>
      </c>
      <c r="J85" s="6"/>
    </row>
    <row r="86" customFormat="false" ht="15" hidden="false" customHeight="true" outlineLevel="0" collapsed="false">
      <c r="A86" s="3" t="s">
        <v>204</v>
      </c>
      <c r="B86" s="3" t="s">
        <v>202</v>
      </c>
      <c r="C86" s="3" t="n">
        <v>2023</v>
      </c>
      <c r="D86" s="4" t="s">
        <v>28</v>
      </c>
      <c r="E86" s="3" t="s">
        <v>29</v>
      </c>
      <c r="F86" s="3" t="s">
        <v>143</v>
      </c>
      <c r="G86" s="3" t="s">
        <v>205</v>
      </c>
      <c r="H86" s="5" t="n">
        <v>13491</v>
      </c>
      <c r="I86" s="3" t="s">
        <v>16</v>
      </c>
      <c r="J86" s="3"/>
    </row>
    <row r="87" customFormat="false" ht="15" hidden="false" customHeight="true" outlineLevel="0" collapsed="false">
      <c r="A87" s="6" t="s">
        <v>206</v>
      </c>
      <c r="B87" s="6" t="s">
        <v>202</v>
      </c>
      <c r="C87" s="6" t="n">
        <v>2023</v>
      </c>
      <c r="D87" s="7" t="s">
        <v>28</v>
      </c>
      <c r="E87" s="6" t="s">
        <v>57</v>
      </c>
      <c r="F87" s="6" t="s">
        <v>58</v>
      </c>
      <c r="G87" s="6" t="s">
        <v>207</v>
      </c>
      <c r="H87" s="8" t="n">
        <v>1050</v>
      </c>
      <c r="I87" s="6" t="s">
        <v>73</v>
      </c>
      <c r="J87" s="6"/>
    </row>
    <row r="88" customFormat="false" ht="15" hidden="false" customHeight="true" outlineLevel="0" collapsed="false">
      <c r="A88" s="3" t="s">
        <v>208</v>
      </c>
      <c r="B88" s="3" t="s">
        <v>202</v>
      </c>
      <c r="C88" s="3" t="n">
        <v>2023</v>
      </c>
      <c r="D88" s="4" t="s">
        <v>28</v>
      </c>
      <c r="E88" s="3" t="s">
        <v>179</v>
      </c>
      <c r="F88" s="3" t="s">
        <v>194</v>
      </c>
      <c r="G88" s="3" t="s">
        <v>209</v>
      </c>
      <c r="H88" s="5" t="n">
        <v>1434</v>
      </c>
      <c r="I88" s="3" t="s">
        <v>73</v>
      </c>
      <c r="J88" s="3"/>
    </row>
    <row r="89" customFormat="false" ht="15" hidden="false" customHeight="true" outlineLevel="0" collapsed="false">
      <c r="A89" s="6" t="s">
        <v>210</v>
      </c>
      <c r="B89" s="6" t="s">
        <v>202</v>
      </c>
      <c r="C89" s="6" t="n">
        <v>2023</v>
      </c>
      <c r="D89" s="7" t="s">
        <v>28</v>
      </c>
      <c r="E89" s="6" t="s">
        <v>37</v>
      </c>
      <c r="F89" s="6" t="s">
        <v>82</v>
      </c>
      <c r="G89" s="6" t="s">
        <v>211</v>
      </c>
      <c r="H89" s="8" t="n">
        <v>3294</v>
      </c>
      <c r="I89" s="6" t="s">
        <v>26</v>
      </c>
      <c r="J89" s="6"/>
    </row>
    <row r="90" customFormat="false" ht="15" hidden="false" customHeight="true" outlineLevel="0" collapsed="false">
      <c r="A90" s="3" t="s">
        <v>210</v>
      </c>
      <c r="B90" s="3" t="s">
        <v>202</v>
      </c>
      <c r="C90" s="3" t="n">
        <v>2023</v>
      </c>
      <c r="D90" s="4" t="s">
        <v>28</v>
      </c>
      <c r="E90" s="3" t="s">
        <v>40</v>
      </c>
      <c r="F90" s="3" t="s">
        <v>148</v>
      </c>
      <c r="G90" s="3" t="s">
        <v>212</v>
      </c>
      <c r="H90" s="5" t="n">
        <v>1223</v>
      </c>
      <c r="I90" s="3" t="s">
        <v>26</v>
      </c>
      <c r="J90" s="3"/>
    </row>
    <row r="91" customFormat="false" ht="15" hidden="false" customHeight="true" outlineLevel="0" collapsed="false">
      <c r="A91" s="6" t="s">
        <v>213</v>
      </c>
      <c r="B91" s="6" t="s">
        <v>202</v>
      </c>
      <c r="C91" s="6" t="n">
        <v>2023</v>
      </c>
      <c r="D91" s="7" t="s">
        <v>28</v>
      </c>
      <c r="E91" s="6" t="s">
        <v>101</v>
      </c>
      <c r="F91" s="6" t="s">
        <v>120</v>
      </c>
      <c r="G91" s="6" t="s">
        <v>214</v>
      </c>
      <c r="H91" s="8" t="n">
        <v>750</v>
      </c>
      <c r="I91" s="6" t="s">
        <v>16</v>
      </c>
      <c r="J91" s="6"/>
    </row>
    <row r="92" customFormat="false" ht="15" hidden="false" customHeight="true" outlineLevel="0" collapsed="false">
      <c r="A92" s="3" t="s">
        <v>215</v>
      </c>
      <c r="B92" s="3" t="s">
        <v>216</v>
      </c>
      <c r="C92" s="3" t="n">
        <v>2023</v>
      </c>
      <c r="D92" s="4" t="s">
        <v>12</v>
      </c>
      <c r="E92" s="3" t="s">
        <v>13</v>
      </c>
      <c r="F92" s="3" t="s">
        <v>14</v>
      </c>
      <c r="G92" s="3" t="s">
        <v>15</v>
      </c>
      <c r="H92" s="5" t="n">
        <v>65000</v>
      </c>
      <c r="I92" s="3" t="s">
        <v>16</v>
      </c>
      <c r="J92" s="3"/>
    </row>
    <row r="93" customFormat="false" ht="15" hidden="false" customHeight="true" outlineLevel="0" collapsed="false">
      <c r="A93" s="6" t="s">
        <v>217</v>
      </c>
      <c r="B93" s="6" t="s">
        <v>216</v>
      </c>
      <c r="C93" s="6" t="n">
        <v>2023</v>
      </c>
      <c r="D93" s="7" t="s">
        <v>12</v>
      </c>
      <c r="E93" s="6" t="s">
        <v>18</v>
      </c>
      <c r="F93" s="6" t="s">
        <v>19</v>
      </c>
      <c r="G93" s="6" t="s">
        <v>20</v>
      </c>
      <c r="H93" s="8" t="n">
        <v>7546</v>
      </c>
      <c r="I93" s="6" t="s">
        <v>16</v>
      </c>
      <c r="J93" s="6"/>
    </row>
    <row r="94" customFormat="false" ht="15" hidden="false" customHeight="true" outlineLevel="0" collapsed="false">
      <c r="A94" s="3" t="s">
        <v>218</v>
      </c>
      <c r="B94" s="3" t="s">
        <v>216</v>
      </c>
      <c r="C94" s="3" t="n">
        <v>2023</v>
      </c>
      <c r="D94" s="4" t="s">
        <v>22</v>
      </c>
      <c r="E94" s="3" t="s">
        <v>23</v>
      </c>
      <c r="F94" s="3" t="s">
        <v>24</v>
      </c>
      <c r="G94" s="3" t="s">
        <v>25</v>
      </c>
      <c r="H94" s="5" t="n">
        <v>10000</v>
      </c>
      <c r="I94" s="3" t="s">
        <v>26</v>
      </c>
      <c r="J94" s="3"/>
    </row>
    <row r="95" customFormat="false" ht="15" hidden="false" customHeight="true" outlineLevel="0" collapsed="false">
      <c r="A95" s="6" t="s">
        <v>219</v>
      </c>
      <c r="B95" s="6" t="s">
        <v>216</v>
      </c>
      <c r="C95" s="6" t="n">
        <v>2023</v>
      </c>
      <c r="D95" s="7" t="s">
        <v>22</v>
      </c>
      <c r="E95" s="6" t="s">
        <v>70</v>
      </c>
      <c r="F95" s="6" t="s">
        <v>71</v>
      </c>
      <c r="G95" s="6" t="s">
        <v>72</v>
      </c>
      <c r="H95" s="8" t="n">
        <v>5000</v>
      </c>
      <c r="I95" s="6" t="s">
        <v>73</v>
      </c>
      <c r="J95" s="6"/>
    </row>
    <row r="96" customFormat="false" ht="15" hidden="false" customHeight="true" outlineLevel="0" collapsed="false">
      <c r="A96" s="3" t="s">
        <v>220</v>
      </c>
      <c r="B96" s="3" t="s">
        <v>216</v>
      </c>
      <c r="C96" s="3" t="n">
        <v>2023</v>
      </c>
      <c r="D96" s="4" t="s">
        <v>28</v>
      </c>
      <c r="E96" s="3" t="s">
        <v>33</v>
      </c>
      <c r="F96" s="3" t="s">
        <v>54</v>
      </c>
      <c r="G96" s="3" t="s">
        <v>221</v>
      </c>
      <c r="H96" s="5" t="n">
        <v>2933</v>
      </c>
      <c r="I96" s="3" t="s">
        <v>46</v>
      </c>
      <c r="J96" s="3"/>
    </row>
    <row r="97" customFormat="false" ht="15" hidden="false" customHeight="true" outlineLevel="0" collapsed="false">
      <c r="A97" s="6" t="s">
        <v>222</v>
      </c>
      <c r="B97" s="6" t="s">
        <v>216</v>
      </c>
      <c r="C97" s="6" t="n">
        <v>2023</v>
      </c>
      <c r="D97" s="7" t="s">
        <v>28</v>
      </c>
      <c r="E97" s="6" t="s">
        <v>57</v>
      </c>
      <c r="F97" s="6" t="s">
        <v>112</v>
      </c>
      <c r="G97" s="6" t="s">
        <v>223</v>
      </c>
      <c r="H97" s="8" t="n">
        <v>1004</v>
      </c>
      <c r="I97" s="6" t="s">
        <v>89</v>
      </c>
      <c r="J97" s="6"/>
    </row>
    <row r="98" customFormat="false" ht="15" hidden="false" customHeight="true" outlineLevel="0" collapsed="false">
      <c r="A98" s="3" t="s">
        <v>224</v>
      </c>
      <c r="B98" s="3" t="s">
        <v>216</v>
      </c>
      <c r="C98" s="3" t="n">
        <v>2023</v>
      </c>
      <c r="D98" s="4" t="s">
        <v>28</v>
      </c>
      <c r="E98" s="3" t="s">
        <v>179</v>
      </c>
      <c r="F98" s="3" t="s">
        <v>225</v>
      </c>
      <c r="G98" s="3" t="s">
        <v>226</v>
      </c>
      <c r="H98" s="5" t="n">
        <v>727</v>
      </c>
      <c r="I98" s="3" t="s">
        <v>73</v>
      </c>
      <c r="J98" s="3"/>
    </row>
    <row r="99" customFormat="false" ht="15" hidden="false" customHeight="true" outlineLevel="0" collapsed="false">
      <c r="A99" s="6" t="s">
        <v>227</v>
      </c>
      <c r="B99" s="6" t="s">
        <v>216</v>
      </c>
      <c r="C99" s="6" t="n">
        <v>2023</v>
      </c>
      <c r="D99" s="7" t="s">
        <v>28</v>
      </c>
      <c r="E99" s="6" t="s">
        <v>37</v>
      </c>
      <c r="F99" s="6" t="s">
        <v>44</v>
      </c>
      <c r="G99" s="6" t="s">
        <v>228</v>
      </c>
      <c r="H99" s="8" t="n">
        <v>2161</v>
      </c>
      <c r="I99" s="6" t="s">
        <v>89</v>
      </c>
      <c r="J99" s="6"/>
    </row>
    <row r="100" customFormat="false" ht="15" hidden="false" customHeight="true" outlineLevel="0" collapsed="false">
      <c r="A100" s="3" t="s">
        <v>229</v>
      </c>
      <c r="B100" s="3" t="s">
        <v>216</v>
      </c>
      <c r="C100" s="3" t="n">
        <v>2023</v>
      </c>
      <c r="D100" s="4" t="s">
        <v>28</v>
      </c>
      <c r="E100" s="3" t="s">
        <v>40</v>
      </c>
      <c r="F100" s="3" t="s">
        <v>41</v>
      </c>
      <c r="G100" s="3" t="s">
        <v>230</v>
      </c>
      <c r="H100" s="5" t="n">
        <v>1114</v>
      </c>
      <c r="I100" s="3" t="s">
        <v>16</v>
      </c>
      <c r="J100" s="3"/>
    </row>
    <row r="101" customFormat="false" ht="15" hidden="false" customHeight="true" outlineLevel="0" collapsed="false">
      <c r="A101" s="6" t="s">
        <v>231</v>
      </c>
      <c r="B101" s="6" t="s">
        <v>216</v>
      </c>
      <c r="C101" s="6" t="n">
        <v>2023</v>
      </c>
      <c r="D101" s="7" t="s">
        <v>28</v>
      </c>
      <c r="E101" s="6" t="s">
        <v>101</v>
      </c>
      <c r="F101" s="6" t="s">
        <v>120</v>
      </c>
      <c r="G101" s="6" t="s">
        <v>232</v>
      </c>
      <c r="H101" s="8" t="n">
        <v>1038</v>
      </c>
      <c r="I101" s="6" t="s">
        <v>46</v>
      </c>
      <c r="J101" s="6"/>
    </row>
    <row r="102" customFormat="false" ht="15" hidden="false" customHeight="true" outlineLevel="0" collapsed="false">
      <c r="A102" s="3" t="s">
        <v>233</v>
      </c>
      <c r="B102" s="3" t="s">
        <v>11</v>
      </c>
      <c r="C102" s="3" t="n">
        <v>2024</v>
      </c>
      <c r="D102" s="4" t="s">
        <v>12</v>
      </c>
      <c r="E102" s="3" t="s">
        <v>13</v>
      </c>
      <c r="F102" s="3" t="s">
        <v>14</v>
      </c>
      <c r="G102" s="3" t="s">
        <v>15</v>
      </c>
      <c r="H102" s="5" t="n">
        <v>65000</v>
      </c>
      <c r="I102" s="3" t="s">
        <v>16</v>
      </c>
      <c r="J102" s="3"/>
    </row>
    <row r="103" customFormat="false" ht="15" hidden="false" customHeight="true" outlineLevel="0" collapsed="false">
      <c r="A103" s="6" t="s">
        <v>234</v>
      </c>
      <c r="B103" s="6" t="s">
        <v>11</v>
      </c>
      <c r="C103" s="6" t="n">
        <v>2024</v>
      </c>
      <c r="D103" s="7" t="s">
        <v>12</v>
      </c>
      <c r="E103" s="6" t="s">
        <v>18</v>
      </c>
      <c r="F103" s="6" t="s">
        <v>19</v>
      </c>
      <c r="G103" s="6" t="s">
        <v>20</v>
      </c>
      <c r="H103" s="8" t="n">
        <v>7426</v>
      </c>
      <c r="I103" s="6" t="s">
        <v>16</v>
      </c>
      <c r="J103" s="6"/>
    </row>
    <row r="104" customFormat="false" ht="15" hidden="false" customHeight="true" outlineLevel="0" collapsed="false">
      <c r="A104" s="3" t="s">
        <v>235</v>
      </c>
      <c r="B104" s="3" t="s">
        <v>11</v>
      </c>
      <c r="C104" s="3" t="n">
        <v>2024</v>
      </c>
      <c r="D104" s="4" t="s">
        <v>22</v>
      </c>
      <c r="E104" s="3" t="s">
        <v>23</v>
      </c>
      <c r="F104" s="3" t="s">
        <v>24</v>
      </c>
      <c r="G104" s="3" t="s">
        <v>25</v>
      </c>
      <c r="H104" s="5" t="n">
        <v>10000</v>
      </c>
      <c r="I104" s="3" t="s">
        <v>26</v>
      </c>
      <c r="J104" s="3"/>
    </row>
    <row r="105" customFormat="false" ht="15" hidden="false" customHeight="true" outlineLevel="0" collapsed="false">
      <c r="A105" s="6" t="s">
        <v>236</v>
      </c>
      <c r="B105" s="6" t="s">
        <v>11</v>
      </c>
      <c r="C105" s="6" t="n">
        <v>2024</v>
      </c>
      <c r="D105" s="7" t="s">
        <v>28</v>
      </c>
      <c r="E105" s="6" t="s">
        <v>29</v>
      </c>
      <c r="F105" s="6" t="s">
        <v>51</v>
      </c>
      <c r="G105" s="6" t="s">
        <v>237</v>
      </c>
      <c r="H105" s="8" t="n">
        <v>11050</v>
      </c>
      <c r="I105" s="6" t="s">
        <v>16</v>
      </c>
      <c r="J105" s="6"/>
    </row>
    <row r="106" customFormat="false" ht="15" hidden="false" customHeight="true" outlineLevel="0" collapsed="false">
      <c r="A106" s="3" t="s">
        <v>238</v>
      </c>
      <c r="B106" s="3" t="s">
        <v>11</v>
      </c>
      <c r="C106" s="3" t="n">
        <v>2024</v>
      </c>
      <c r="D106" s="4" t="s">
        <v>28</v>
      </c>
      <c r="E106" s="3" t="s">
        <v>33</v>
      </c>
      <c r="F106" s="3" t="s">
        <v>239</v>
      </c>
      <c r="G106" s="3" t="s">
        <v>240</v>
      </c>
      <c r="H106" s="5" t="n">
        <v>4893</v>
      </c>
      <c r="I106" s="3" t="s">
        <v>16</v>
      </c>
      <c r="J106" s="3"/>
    </row>
    <row r="107" customFormat="false" ht="15" hidden="false" customHeight="true" outlineLevel="0" collapsed="false">
      <c r="A107" s="6" t="s">
        <v>241</v>
      </c>
      <c r="B107" s="6" t="s">
        <v>11</v>
      </c>
      <c r="C107" s="6" t="n">
        <v>2024</v>
      </c>
      <c r="D107" s="7" t="s">
        <v>28</v>
      </c>
      <c r="E107" s="6" t="s">
        <v>57</v>
      </c>
      <c r="F107" s="6" t="s">
        <v>91</v>
      </c>
      <c r="G107" s="6" t="s">
        <v>242</v>
      </c>
      <c r="H107" s="8" t="n">
        <v>2171</v>
      </c>
      <c r="I107" s="6" t="s">
        <v>73</v>
      </c>
      <c r="J107" s="6"/>
    </row>
    <row r="108" customFormat="false" ht="15" hidden="false" customHeight="true" outlineLevel="0" collapsed="false">
      <c r="A108" s="3" t="s">
        <v>243</v>
      </c>
      <c r="B108" s="3" t="s">
        <v>11</v>
      </c>
      <c r="C108" s="3" t="n">
        <v>2024</v>
      </c>
      <c r="D108" s="4" t="s">
        <v>28</v>
      </c>
      <c r="E108" s="3" t="s">
        <v>179</v>
      </c>
      <c r="F108" s="3" t="s">
        <v>194</v>
      </c>
      <c r="G108" s="3" t="s">
        <v>244</v>
      </c>
      <c r="H108" s="5" t="n">
        <v>1052</v>
      </c>
      <c r="I108" s="3" t="s">
        <v>73</v>
      </c>
      <c r="J108" s="3"/>
    </row>
    <row r="109" customFormat="false" ht="15" hidden="false" customHeight="true" outlineLevel="0" collapsed="false">
      <c r="A109" s="6" t="s">
        <v>241</v>
      </c>
      <c r="B109" s="6" t="s">
        <v>11</v>
      </c>
      <c r="C109" s="6" t="n">
        <v>2024</v>
      </c>
      <c r="D109" s="7" t="s">
        <v>28</v>
      </c>
      <c r="E109" s="6" t="s">
        <v>37</v>
      </c>
      <c r="F109" s="6" t="s">
        <v>38</v>
      </c>
      <c r="G109" s="6" t="s">
        <v>245</v>
      </c>
      <c r="H109" s="8" t="n">
        <v>2234</v>
      </c>
      <c r="I109" s="6" t="s">
        <v>46</v>
      </c>
      <c r="J109" s="6"/>
    </row>
    <row r="110" customFormat="false" ht="15" hidden="false" customHeight="true" outlineLevel="0" collapsed="false">
      <c r="A110" s="3" t="s">
        <v>241</v>
      </c>
      <c r="B110" s="3" t="s">
        <v>11</v>
      </c>
      <c r="C110" s="3" t="n">
        <v>2024</v>
      </c>
      <c r="D110" s="4" t="s">
        <v>28</v>
      </c>
      <c r="E110" s="3" t="s">
        <v>40</v>
      </c>
      <c r="F110" s="3" t="s">
        <v>41</v>
      </c>
      <c r="G110" s="3" t="s">
        <v>246</v>
      </c>
      <c r="H110" s="5" t="n">
        <v>1225</v>
      </c>
      <c r="I110" s="3" t="s">
        <v>73</v>
      </c>
      <c r="J110" s="3"/>
    </row>
    <row r="111" customFormat="false" ht="15" hidden="false" customHeight="true" outlineLevel="0" collapsed="false">
      <c r="A111" s="6" t="s">
        <v>247</v>
      </c>
      <c r="B111" s="6" t="s">
        <v>11</v>
      </c>
      <c r="C111" s="6" t="n">
        <v>2024</v>
      </c>
      <c r="D111" s="7" t="s">
        <v>28</v>
      </c>
      <c r="E111" s="6" t="s">
        <v>101</v>
      </c>
      <c r="F111" s="6" t="s">
        <v>185</v>
      </c>
      <c r="G111" s="6" t="s">
        <v>248</v>
      </c>
      <c r="H111" s="8" t="n">
        <v>871</v>
      </c>
      <c r="I111" s="6" t="s">
        <v>89</v>
      </c>
      <c r="J111" s="6"/>
    </row>
    <row r="112" customFormat="false" ht="15" hidden="false" customHeight="true" outlineLevel="0" collapsed="false">
      <c r="A112" s="3" t="s">
        <v>249</v>
      </c>
      <c r="B112" s="3" t="s">
        <v>48</v>
      </c>
      <c r="C112" s="3" t="n">
        <v>2024</v>
      </c>
      <c r="D112" s="4" t="s">
        <v>12</v>
      </c>
      <c r="E112" s="3" t="s">
        <v>13</v>
      </c>
      <c r="F112" s="3" t="s">
        <v>14</v>
      </c>
      <c r="G112" s="3" t="s">
        <v>15</v>
      </c>
      <c r="H112" s="5" t="n">
        <v>65000</v>
      </c>
      <c r="I112" s="3" t="s">
        <v>16</v>
      </c>
      <c r="J112" s="3"/>
    </row>
    <row r="113" customFormat="false" ht="15" hidden="false" customHeight="true" outlineLevel="0" collapsed="false">
      <c r="A113" s="6" t="s">
        <v>250</v>
      </c>
      <c r="B113" s="6" t="s">
        <v>48</v>
      </c>
      <c r="C113" s="6" t="n">
        <v>2024</v>
      </c>
      <c r="D113" s="7" t="s">
        <v>22</v>
      </c>
      <c r="E113" s="6" t="s">
        <v>23</v>
      </c>
      <c r="F113" s="6" t="s">
        <v>24</v>
      </c>
      <c r="G113" s="6" t="s">
        <v>25</v>
      </c>
      <c r="H113" s="8" t="n">
        <v>10000</v>
      </c>
      <c r="I113" s="6" t="s">
        <v>26</v>
      </c>
      <c r="J113" s="6"/>
    </row>
    <row r="114" customFormat="false" ht="15" hidden="false" customHeight="true" outlineLevel="0" collapsed="false">
      <c r="A114" s="3" t="s">
        <v>251</v>
      </c>
      <c r="B114" s="3" t="s">
        <v>48</v>
      </c>
      <c r="C114" s="3" t="n">
        <v>2024</v>
      </c>
      <c r="D114" s="4" t="s">
        <v>28</v>
      </c>
      <c r="E114" s="3" t="s">
        <v>29</v>
      </c>
      <c r="F114" s="3" t="s">
        <v>74</v>
      </c>
      <c r="G114" s="3" t="s">
        <v>252</v>
      </c>
      <c r="H114" s="5" t="n">
        <v>11728</v>
      </c>
      <c r="I114" s="3" t="s">
        <v>73</v>
      </c>
      <c r="J114" s="3"/>
    </row>
    <row r="115" customFormat="false" ht="15" hidden="false" customHeight="true" outlineLevel="0" collapsed="false">
      <c r="A115" s="6" t="s">
        <v>253</v>
      </c>
      <c r="B115" s="6" t="s">
        <v>48</v>
      </c>
      <c r="C115" s="6" t="n">
        <v>2024</v>
      </c>
      <c r="D115" s="7" t="s">
        <v>28</v>
      </c>
      <c r="E115" s="6" t="s">
        <v>57</v>
      </c>
      <c r="F115" s="6" t="s">
        <v>91</v>
      </c>
      <c r="G115" s="6" t="s">
        <v>254</v>
      </c>
      <c r="H115" s="8" t="n">
        <v>1572</v>
      </c>
      <c r="I115" s="6" t="s">
        <v>16</v>
      </c>
      <c r="J115" s="6"/>
    </row>
    <row r="116" customFormat="false" ht="15" hidden="false" customHeight="true" outlineLevel="0" collapsed="false">
      <c r="A116" s="3" t="s">
        <v>255</v>
      </c>
      <c r="B116" s="3" t="s">
        <v>48</v>
      </c>
      <c r="C116" s="3" t="n">
        <v>2024</v>
      </c>
      <c r="D116" s="4" t="s">
        <v>28</v>
      </c>
      <c r="E116" s="3" t="s">
        <v>179</v>
      </c>
      <c r="F116" s="3" t="s">
        <v>256</v>
      </c>
      <c r="G116" s="3" t="s">
        <v>257</v>
      </c>
      <c r="H116" s="5" t="n">
        <v>1439</v>
      </c>
      <c r="I116" s="3" t="s">
        <v>26</v>
      </c>
      <c r="J116" s="3"/>
    </row>
    <row r="117" customFormat="false" ht="15" hidden="false" customHeight="true" outlineLevel="0" collapsed="false">
      <c r="A117" s="6" t="s">
        <v>258</v>
      </c>
      <c r="B117" s="6" t="s">
        <v>48</v>
      </c>
      <c r="C117" s="6" t="n">
        <v>2024</v>
      </c>
      <c r="D117" s="7" t="s">
        <v>28</v>
      </c>
      <c r="E117" s="6" t="s">
        <v>37</v>
      </c>
      <c r="F117" s="6" t="s">
        <v>44</v>
      </c>
      <c r="G117" s="6" t="s">
        <v>259</v>
      </c>
      <c r="H117" s="8" t="n">
        <v>1613</v>
      </c>
      <c r="I117" s="6" t="s">
        <v>46</v>
      </c>
      <c r="J117" s="6"/>
    </row>
    <row r="118" customFormat="false" ht="15" hidden="false" customHeight="true" outlineLevel="0" collapsed="false">
      <c r="A118" s="3" t="s">
        <v>258</v>
      </c>
      <c r="B118" s="3" t="s">
        <v>48</v>
      </c>
      <c r="C118" s="3" t="n">
        <v>2024</v>
      </c>
      <c r="D118" s="4" t="s">
        <v>28</v>
      </c>
      <c r="E118" s="3" t="s">
        <v>43</v>
      </c>
      <c r="F118" s="3" t="s">
        <v>199</v>
      </c>
      <c r="G118" s="3" t="s">
        <v>260</v>
      </c>
      <c r="H118" s="5" t="n">
        <v>1278</v>
      </c>
      <c r="I118" s="3" t="s">
        <v>26</v>
      </c>
      <c r="J118" s="3"/>
    </row>
    <row r="119" customFormat="false" ht="15" hidden="false" customHeight="true" outlineLevel="0" collapsed="false">
      <c r="A119" s="6" t="s">
        <v>261</v>
      </c>
      <c r="B119" s="6" t="s">
        <v>48</v>
      </c>
      <c r="C119" s="6" t="n">
        <v>2024</v>
      </c>
      <c r="D119" s="7" t="s">
        <v>28</v>
      </c>
      <c r="E119" s="6" t="s">
        <v>101</v>
      </c>
      <c r="F119" s="6" t="s">
        <v>262</v>
      </c>
      <c r="G119" s="6" t="s">
        <v>263</v>
      </c>
      <c r="H119" s="8" t="n">
        <v>926</v>
      </c>
      <c r="I119" s="6" t="s">
        <v>26</v>
      </c>
      <c r="J119" s="6"/>
    </row>
    <row r="120" customFormat="false" ht="15" hidden="false" customHeight="true" outlineLevel="0" collapsed="false">
      <c r="A120" s="3" t="s">
        <v>264</v>
      </c>
      <c r="B120" s="3" t="s">
        <v>63</v>
      </c>
      <c r="C120" s="3" t="n">
        <v>2024</v>
      </c>
      <c r="D120" s="4" t="s">
        <v>12</v>
      </c>
      <c r="E120" s="3" t="s">
        <v>13</v>
      </c>
      <c r="F120" s="3" t="s">
        <v>14</v>
      </c>
      <c r="G120" s="3" t="s">
        <v>15</v>
      </c>
      <c r="H120" s="5" t="n">
        <v>65000</v>
      </c>
      <c r="I120" s="3" t="s">
        <v>16</v>
      </c>
      <c r="J120" s="3"/>
    </row>
    <row r="121" customFormat="false" ht="15" hidden="false" customHeight="true" outlineLevel="0" collapsed="false">
      <c r="A121" s="6" t="s">
        <v>265</v>
      </c>
      <c r="B121" s="6" t="s">
        <v>63</v>
      </c>
      <c r="C121" s="6" t="n">
        <v>2024</v>
      </c>
      <c r="D121" s="7" t="s">
        <v>12</v>
      </c>
      <c r="E121" s="6" t="s">
        <v>13</v>
      </c>
      <c r="F121" s="6" t="s">
        <v>65</v>
      </c>
      <c r="G121" s="6" t="s">
        <v>66</v>
      </c>
      <c r="H121" s="8" t="n">
        <v>11894</v>
      </c>
      <c r="I121" s="6" t="s">
        <v>16</v>
      </c>
      <c r="J121" s="6"/>
    </row>
    <row r="122" customFormat="false" ht="15" hidden="false" customHeight="true" outlineLevel="0" collapsed="false">
      <c r="A122" s="3" t="s">
        <v>266</v>
      </c>
      <c r="B122" s="3" t="s">
        <v>63</v>
      </c>
      <c r="C122" s="3" t="n">
        <v>2024</v>
      </c>
      <c r="D122" s="4" t="s">
        <v>22</v>
      </c>
      <c r="E122" s="3" t="s">
        <v>23</v>
      </c>
      <c r="F122" s="3" t="s">
        <v>24</v>
      </c>
      <c r="G122" s="3" t="s">
        <v>25</v>
      </c>
      <c r="H122" s="5" t="n">
        <v>10000</v>
      </c>
      <c r="I122" s="3" t="s">
        <v>26</v>
      </c>
      <c r="J122" s="3"/>
    </row>
    <row r="123" customFormat="false" ht="15" hidden="false" customHeight="true" outlineLevel="0" collapsed="false">
      <c r="A123" s="6" t="s">
        <v>267</v>
      </c>
      <c r="B123" s="6" t="s">
        <v>63</v>
      </c>
      <c r="C123" s="6" t="n">
        <v>2024</v>
      </c>
      <c r="D123" s="7" t="s">
        <v>22</v>
      </c>
      <c r="E123" s="6" t="s">
        <v>70</v>
      </c>
      <c r="F123" s="6" t="s">
        <v>71</v>
      </c>
      <c r="G123" s="6" t="s">
        <v>72</v>
      </c>
      <c r="H123" s="8" t="n">
        <v>5000</v>
      </c>
      <c r="I123" s="6" t="s">
        <v>73</v>
      </c>
      <c r="J123" s="6"/>
    </row>
    <row r="124" customFormat="false" ht="15" hidden="false" customHeight="true" outlineLevel="0" collapsed="false">
      <c r="A124" s="3" t="s">
        <v>268</v>
      </c>
      <c r="B124" s="3" t="s">
        <v>63</v>
      </c>
      <c r="C124" s="3" t="n">
        <v>2024</v>
      </c>
      <c r="D124" s="4" t="s">
        <v>28</v>
      </c>
      <c r="E124" s="3" t="s">
        <v>29</v>
      </c>
      <c r="F124" s="3" t="s">
        <v>143</v>
      </c>
      <c r="G124" s="3" t="s">
        <v>269</v>
      </c>
      <c r="H124" s="5" t="n">
        <v>6727</v>
      </c>
      <c r="I124" s="3" t="s">
        <v>89</v>
      </c>
      <c r="J124" s="3"/>
    </row>
    <row r="125" customFormat="false" ht="15" hidden="false" customHeight="true" outlineLevel="0" collapsed="false">
      <c r="A125" s="6" t="s">
        <v>270</v>
      </c>
      <c r="B125" s="6" t="s">
        <v>63</v>
      </c>
      <c r="C125" s="6" t="n">
        <v>2024</v>
      </c>
      <c r="D125" s="7" t="s">
        <v>28</v>
      </c>
      <c r="E125" s="6" t="s">
        <v>57</v>
      </c>
      <c r="F125" s="6" t="s">
        <v>79</v>
      </c>
      <c r="G125" s="6" t="s">
        <v>271</v>
      </c>
      <c r="H125" s="8" t="n">
        <v>1645</v>
      </c>
      <c r="I125" s="6" t="s">
        <v>16</v>
      </c>
      <c r="J125" s="6"/>
    </row>
    <row r="126" customFormat="false" ht="15" hidden="false" customHeight="true" outlineLevel="0" collapsed="false">
      <c r="A126" s="3" t="s">
        <v>272</v>
      </c>
      <c r="B126" s="3" t="s">
        <v>63</v>
      </c>
      <c r="C126" s="3" t="n">
        <v>2024</v>
      </c>
      <c r="D126" s="4" t="s">
        <v>28</v>
      </c>
      <c r="E126" s="3" t="s">
        <v>179</v>
      </c>
      <c r="F126" s="3" t="s">
        <v>256</v>
      </c>
      <c r="G126" s="3" t="s">
        <v>273</v>
      </c>
      <c r="H126" s="5" t="n">
        <v>1362</v>
      </c>
      <c r="I126" s="3" t="s">
        <v>16</v>
      </c>
      <c r="J126" s="3"/>
    </row>
    <row r="127" customFormat="false" ht="15" hidden="false" customHeight="true" outlineLevel="0" collapsed="false">
      <c r="A127" s="6" t="s">
        <v>274</v>
      </c>
      <c r="B127" s="6" t="s">
        <v>63</v>
      </c>
      <c r="C127" s="6" t="n">
        <v>2024</v>
      </c>
      <c r="D127" s="7" t="s">
        <v>28</v>
      </c>
      <c r="E127" s="6" t="s">
        <v>37</v>
      </c>
      <c r="F127" s="6" t="s">
        <v>44</v>
      </c>
      <c r="G127" s="6" t="s">
        <v>275</v>
      </c>
      <c r="H127" s="8" t="n">
        <v>3577</v>
      </c>
      <c r="I127" s="6" t="s">
        <v>89</v>
      </c>
      <c r="J127" s="6"/>
    </row>
    <row r="128" customFormat="false" ht="15" hidden="false" customHeight="true" outlineLevel="0" collapsed="false">
      <c r="A128" s="3" t="s">
        <v>270</v>
      </c>
      <c r="B128" s="3" t="s">
        <v>63</v>
      </c>
      <c r="C128" s="3" t="n">
        <v>2024</v>
      </c>
      <c r="D128" s="4" t="s">
        <v>28</v>
      </c>
      <c r="E128" s="3" t="s">
        <v>43</v>
      </c>
      <c r="F128" s="3" t="s">
        <v>44</v>
      </c>
      <c r="G128" s="3" t="s">
        <v>275</v>
      </c>
      <c r="H128" s="5" t="n">
        <v>1592</v>
      </c>
      <c r="I128" s="3" t="s">
        <v>89</v>
      </c>
      <c r="J128" s="3"/>
    </row>
    <row r="129" customFormat="false" ht="15" hidden="false" customHeight="true" outlineLevel="0" collapsed="false">
      <c r="A129" s="6" t="s">
        <v>276</v>
      </c>
      <c r="B129" s="6" t="s">
        <v>63</v>
      </c>
      <c r="C129" s="6" t="n">
        <v>2024</v>
      </c>
      <c r="D129" s="7" t="s">
        <v>28</v>
      </c>
      <c r="E129" s="6" t="s">
        <v>101</v>
      </c>
      <c r="F129" s="6" t="s">
        <v>120</v>
      </c>
      <c r="G129" s="6" t="s">
        <v>277</v>
      </c>
      <c r="H129" s="8" t="n">
        <v>1110</v>
      </c>
      <c r="I129" s="6" t="s">
        <v>46</v>
      </c>
      <c r="J129" s="6"/>
    </row>
    <row r="130" customFormat="false" ht="15" hidden="false" customHeight="true" outlineLevel="0" collapsed="false">
      <c r="A130" s="3" t="s">
        <v>278</v>
      </c>
      <c r="B130" s="3" t="s">
        <v>85</v>
      </c>
      <c r="C130" s="3" t="n">
        <v>2024</v>
      </c>
      <c r="D130" s="4" t="s">
        <v>12</v>
      </c>
      <c r="E130" s="3" t="s">
        <v>13</v>
      </c>
      <c r="F130" s="3" t="s">
        <v>14</v>
      </c>
      <c r="G130" s="3" t="s">
        <v>15</v>
      </c>
      <c r="H130" s="5" t="n">
        <v>65000</v>
      </c>
      <c r="I130" s="3" t="s">
        <v>16</v>
      </c>
      <c r="J130" s="3"/>
    </row>
    <row r="131" customFormat="false" ht="15" hidden="false" customHeight="true" outlineLevel="0" collapsed="false">
      <c r="A131" s="6" t="s">
        <v>279</v>
      </c>
      <c r="B131" s="6" t="s">
        <v>85</v>
      </c>
      <c r="C131" s="6" t="n">
        <v>2024</v>
      </c>
      <c r="D131" s="7" t="s">
        <v>22</v>
      </c>
      <c r="E131" s="6" t="s">
        <v>23</v>
      </c>
      <c r="F131" s="6" t="s">
        <v>24</v>
      </c>
      <c r="G131" s="6" t="s">
        <v>25</v>
      </c>
      <c r="H131" s="8" t="n">
        <v>10000</v>
      </c>
      <c r="I131" s="6" t="s">
        <v>26</v>
      </c>
      <c r="J131" s="6"/>
    </row>
    <row r="132" customFormat="false" ht="15" hidden="false" customHeight="true" outlineLevel="0" collapsed="false">
      <c r="A132" s="3" t="s">
        <v>280</v>
      </c>
      <c r="B132" s="3" t="s">
        <v>85</v>
      </c>
      <c r="C132" s="3" t="n">
        <v>2024</v>
      </c>
      <c r="D132" s="4" t="s">
        <v>28</v>
      </c>
      <c r="E132" s="3" t="s">
        <v>29</v>
      </c>
      <c r="F132" s="3" t="s">
        <v>143</v>
      </c>
      <c r="G132" s="3" t="s">
        <v>281</v>
      </c>
      <c r="H132" s="5" t="n">
        <v>10700</v>
      </c>
      <c r="I132" s="3" t="s">
        <v>89</v>
      </c>
      <c r="J132" s="3"/>
    </row>
    <row r="133" customFormat="false" ht="15" hidden="false" customHeight="true" outlineLevel="0" collapsed="false">
      <c r="A133" s="6" t="s">
        <v>282</v>
      </c>
      <c r="B133" s="6" t="s">
        <v>85</v>
      </c>
      <c r="C133" s="6" t="n">
        <v>2024</v>
      </c>
      <c r="D133" s="7" t="s">
        <v>28</v>
      </c>
      <c r="E133" s="6" t="s">
        <v>33</v>
      </c>
      <c r="F133" s="6" t="s">
        <v>54</v>
      </c>
      <c r="G133" s="6" t="s">
        <v>283</v>
      </c>
      <c r="H133" s="8" t="n">
        <v>4004</v>
      </c>
      <c r="I133" s="6" t="s">
        <v>89</v>
      </c>
      <c r="J133" s="6"/>
    </row>
    <row r="134" customFormat="false" ht="15" hidden="false" customHeight="true" outlineLevel="0" collapsed="false">
      <c r="A134" s="3" t="s">
        <v>284</v>
      </c>
      <c r="B134" s="3" t="s">
        <v>85</v>
      </c>
      <c r="C134" s="3" t="n">
        <v>2024</v>
      </c>
      <c r="D134" s="4" t="s">
        <v>28</v>
      </c>
      <c r="E134" s="3" t="s">
        <v>57</v>
      </c>
      <c r="F134" s="3" t="s">
        <v>91</v>
      </c>
      <c r="G134" s="3" t="s">
        <v>285</v>
      </c>
      <c r="H134" s="5" t="n">
        <v>1247</v>
      </c>
      <c r="I134" s="3" t="s">
        <v>16</v>
      </c>
      <c r="J134" s="3"/>
    </row>
    <row r="135" customFormat="false" ht="15" hidden="false" customHeight="true" outlineLevel="0" collapsed="false">
      <c r="A135" s="6" t="s">
        <v>286</v>
      </c>
      <c r="B135" s="6" t="s">
        <v>85</v>
      </c>
      <c r="C135" s="6" t="n">
        <v>2024</v>
      </c>
      <c r="D135" s="7" t="s">
        <v>28</v>
      </c>
      <c r="E135" s="6" t="s">
        <v>37</v>
      </c>
      <c r="F135" s="6" t="s">
        <v>44</v>
      </c>
      <c r="G135" s="6" t="s">
        <v>287</v>
      </c>
      <c r="H135" s="8" t="n">
        <v>1882</v>
      </c>
      <c r="I135" s="6" t="s">
        <v>73</v>
      </c>
      <c r="J135" s="6"/>
    </row>
    <row r="136" customFormat="false" ht="15" hidden="false" customHeight="true" outlineLevel="0" collapsed="false">
      <c r="A136" s="3" t="s">
        <v>288</v>
      </c>
      <c r="B136" s="3" t="s">
        <v>85</v>
      </c>
      <c r="C136" s="3" t="n">
        <v>2024</v>
      </c>
      <c r="D136" s="4" t="s">
        <v>28</v>
      </c>
      <c r="E136" s="3" t="s">
        <v>40</v>
      </c>
      <c r="F136" s="3" t="s">
        <v>96</v>
      </c>
      <c r="G136" s="3" t="s">
        <v>289</v>
      </c>
      <c r="H136" s="5" t="n">
        <v>743</v>
      </c>
      <c r="I136" s="3" t="s">
        <v>16</v>
      </c>
      <c r="J136" s="3"/>
    </row>
    <row r="137" customFormat="false" ht="15" hidden="false" customHeight="true" outlineLevel="0" collapsed="false">
      <c r="A137" s="6" t="s">
        <v>290</v>
      </c>
      <c r="B137" s="6" t="s">
        <v>85</v>
      </c>
      <c r="C137" s="6" t="n">
        <v>2024</v>
      </c>
      <c r="D137" s="7" t="s">
        <v>28</v>
      </c>
      <c r="E137" s="6" t="s">
        <v>101</v>
      </c>
      <c r="F137" s="6" t="s">
        <v>185</v>
      </c>
      <c r="G137" s="6" t="s">
        <v>291</v>
      </c>
      <c r="H137" s="8" t="n">
        <v>946</v>
      </c>
      <c r="I137" s="6" t="s">
        <v>26</v>
      </c>
      <c r="J137" s="6"/>
    </row>
    <row r="138" customFormat="false" ht="15" hidden="false" customHeight="true" outlineLevel="0" collapsed="false">
      <c r="A138" s="3" t="s">
        <v>292</v>
      </c>
      <c r="B138" s="3" t="s">
        <v>105</v>
      </c>
      <c r="C138" s="3" t="n">
        <v>2024</v>
      </c>
      <c r="D138" s="4" t="s">
        <v>12</v>
      </c>
      <c r="E138" s="3" t="s">
        <v>13</v>
      </c>
      <c r="F138" s="3" t="s">
        <v>14</v>
      </c>
      <c r="G138" s="3" t="s">
        <v>15</v>
      </c>
      <c r="H138" s="5" t="n">
        <v>65000</v>
      </c>
      <c r="I138" s="3" t="s">
        <v>16</v>
      </c>
      <c r="J138" s="3"/>
    </row>
    <row r="139" customFormat="false" ht="15" hidden="false" customHeight="true" outlineLevel="0" collapsed="false">
      <c r="A139" s="6" t="s">
        <v>293</v>
      </c>
      <c r="B139" s="6" t="s">
        <v>105</v>
      </c>
      <c r="C139" s="6" t="n">
        <v>2024</v>
      </c>
      <c r="D139" s="7" t="s">
        <v>22</v>
      </c>
      <c r="E139" s="6" t="s">
        <v>23</v>
      </c>
      <c r="F139" s="6" t="s">
        <v>24</v>
      </c>
      <c r="G139" s="6" t="s">
        <v>25</v>
      </c>
      <c r="H139" s="8" t="n">
        <v>10000</v>
      </c>
      <c r="I139" s="6" t="s">
        <v>26</v>
      </c>
      <c r="J139" s="6"/>
    </row>
    <row r="140" customFormat="false" ht="15" hidden="false" customHeight="true" outlineLevel="0" collapsed="false">
      <c r="A140" s="3" t="s">
        <v>294</v>
      </c>
      <c r="B140" s="3" t="s">
        <v>105</v>
      </c>
      <c r="C140" s="3" t="n">
        <v>2024</v>
      </c>
      <c r="D140" s="4" t="s">
        <v>28</v>
      </c>
      <c r="E140" s="3" t="s">
        <v>29</v>
      </c>
      <c r="F140" s="3" t="s">
        <v>74</v>
      </c>
      <c r="G140" s="3" t="s">
        <v>295</v>
      </c>
      <c r="H140" s="5" t="n">
        <v>12547</v>
      </c>
      <c r="I140" s="3" t="s">
        <v>73</v>
      </c>
      <c r="J140" s="3"/>
    </row>
    <row r="141" customFormat="false" ht="15" hidden="false" customHeight="true" outlineLevel="0" collapsed="false">
      <c r="A141" s="6" t="s">
        <v>296</v>
      </c>
      <c r="B141" s="6" t="s">
        <v>105</v>
      </c>
      <c r="C141" s="6" t="n">
        <v>2024</v>
      </c>
      <c r="D141" s="7" t="s">
        <v>28</v>
      </c>
      <c r="E141" s="6" t="s">
        <v>33</v>
      </c>
      <c r="F141" s="6" t="s">
        <v>34</v>
      </c>
      <c r="G141" s="6" t="s">
        <v>297</v>
      </c>
      <c r="H141" s="8" t="n">
        <v>5175</v>
      </c>
      <c r="I141" s="6" t="s">
        <v>16</v>
      </c>
      <c r="J141" s="6"/>
    </row>
    <row r="142" customFormat="false" ht="15" hidden="false" customHeight="true" outlineLevel="0" collapsed="false">
      <c r="A142" s="3" t="s">
        <v>298</v>
      </c>
      <c r="B142" s="3" t="s">
        <v>105</v>
      </c>
      <c r="C142" s="3" t="n">
        <v>2024</v>
      </c>
      <c r="D142" s="4" t="s">
        <v>28</v>
      </c>
      <c r="E142" s="3" t="s">
        <v>57</v>
      </c>
      <c r="F142" s="3" t="s">
        <v>79</v>
      </c>
      <c r="G142" s="3" t="s">
        <v>299</v>
      </c>
      <c r="H142" s="5" t="n">
        <v>1260</v>
      </c>
      <c r="I142" s="3" t="s">
        <v>26</v>
      </c>
      <c r="J142" s="3"/>
    </row>
    <row r="143" customFormat="false" ht="15" hidden="false" customHeight="true" outlineLevel="0" collapsed="false">
      <c r="A143" s="6" t="s">
        <v>300</v>
      </c>
      <c r="B143" s="6" t="s">
        <v>105</v>
      </c>
      <c r="C143" s="6" t="n">
        <v>2024</v>
      </c>
      <c r="D143" s="7" t="s">
        <v>28</v>
      </c>
      <c r="E143" s="6" t="s">
        <v>179</v>
      </c>
      <c r="F143" s="6" t="s">
        <v>194</v>
      </c>
      <c r="G143" s="6" t="s">
        <v>301</v>
      </c>
      <c r="H143" s="8" t="n">
        <v>968</v>
      </c>
      <c r="I143" s="6" t="s">
        <v>73</v>
      </c>
      <c r="J143" s="6"/>
    </row>
    <row r="144" customFormat="false" ht="15" hidden="false" customHeight="true" outlineLevel="0" collapsed="false">
      <c r="A144" s="3" t="s">
        <v>302</v>
      </c>
      <c r="B144" s="3" t="s">
        <v>105</v>
      </c>
      <c r="C144" s="3" t="n">
        <v>2024</v>
      </c>
      <c r="D144" s="4" t="s">
        <v>28</v>
      </c>
      <c r="E144" s="3" t="s">
        <v>37</v>
      </c>
      <c r="F144" s="3" t="s">
        <v>44</v>
      </c>
      <c r="G144" s="3" t="s">
        <v>303</v>
      </c>
      <c r="H144" s="5" t="n">
        <v>3312</v>
      </c>
      <c r="I144" s="3" t="s">
        <v>26</v>
      </c>
      <c r="J144" s="3"/>
    </row>
    <row r="145" customFormat="false" ht="15" hidden="false" customHeight="true" outlineLevel="0" collapsed="false">
      <c r="A145" s="6" t="s">
        <v>304</v>
      </c>
      <c r="B145" s="6" t="s">
        <v>105</v>
      </c>
      <c r="C145" s="6" t="n">
        <v>2024</v>
      </c>
      <c r="D145" s="7" t="s">
        <v>28</v>
      </c>
      <c r="E145" s="6" t="s">
        <v>40</v>
      </c>
      <c r="F145" s="6" t="s">
        <v>41</v>
      </c>
      <c r="G145" s="6" t="s">
        <v>305</v>
      </c>
      <c r="H145" s="8" t="n">
        <v>702</v>
      </c>
      <c r="I145" s="6" t="s">
        <v>89</v>
      </c>
      <c r="J145" s="6"/>
    </row>
    <row r="146" customFormat="false" ht="15" hidden="false" customHeight="true" outlineLevel="0" collapsed="false">
      <c r="A146" s="3" t="s">
        <v>306</v>
      </c>
      <c r="B146" s="3" t="s">
        <v>105</v>
      </c>
      <c r="C146" s="3" t="n">
        <v>2024</v>
      </c>
      <c r="D146" s="4" t="s">
        <v>28</v>
      </c>
      <c r="E146" s="3" t="s">
        <v>43</v>
      </c>
      <c r="F146" s="3" t="s">
        <v>44</v>
      </c>
      <c r="G146" s="3" t="s">
        <v>303</v>
      </c>
      <c r="H146" s="5" t="n">
        <v>2920</v>
      </c>
      <c r="I146" s="3" t="s">
        <v>46</v>
      </c>
      <c r="J146" s="3"/>
    </row>
    <row r="147" customFormat="false" ht="15" hidden="false" customHeight="true" outlineLevel="0" collapsed="false">
      <c r="A147" s="6" t="s">
        <v>294</v>
      </c>
      <c r="B147" s="6" t="s">
        <v>105</v>
      </c>
      <c r="C147" s="6" t="n">
        <v>2024</v>
      </c>
      <c r="D147" s="7" t="s">
        <v>28</v>
      </c>
      <c r="E147" s="6" t="s">
        <v>101</v>
      </c>
      <c r="F147" s="6" t="s">
        <v>102</v>
      </c>
      <c r="G147" s="6" t="s">
        <v>307</v>
      </c>
      <c r="H147" s="8" t="n">
        <v>1121</v>
      </c>
      <c r="I147" s="6" t="s">
        <v>46</v>
      </c>
      <c r="J147" s="6"/>
    </row>
    <row r="148" customFormat="false" ht="15" hidden="false" customHeight="true" outlineLevel="0" collapsed="false">
      <c r="A148" s="3" t="s">
        <v>308</v>
      </c>
      <c r="B148" s="3" t="s">
        <v>123</v>
      </c>
      <c r="C148" s="3" t="n">
        <v>2024</v>
      </c>
      <c r="D148" s="4" t="s">
        <v>12</v>
      </c>
      <c r="E148" s="3" t="s">
        <v>13</v>
      </c>
      <c r="F148" s="3" t="s">
        <v>14</v>
      </c>
      <c r="G148" s="3" t="s">
        <v>15</v>
      </c>
      <c r="H148" s="5" t="n">
        <v>65000</v>
      </c>
      <c r="I148" s="3" t="s">
        <v>16</v>
      </c>
      <c r="J148" s="3"/>
    </row>
    <row r="149" customFormat="false" ht="15" hidden="false" customHeight="true" outlineLevel="0" collapsed="false">
      <c r="A149" s="6" t="s">
        <v>309</v>
      </c>
      <c r="B149" s="6" t="s">
        <v>123</v>
      </c>
      <c r="C149" s="6" t="n">
        <v>2024</v>
      </c>
      <c r="D149" s="7" t="s">
        <v>22</v>
      </c>
      <c r="E149" s="6" t="s">
        <v>23</v>
      </c>
      <c r="F149" s="6" t="s">
        <v>24</v>
      </c>
      <c r="G149" s="6" t="s">
        <v>25</v>
      </c>
      <c r="H149" s="8" t="n">
        <v>10000</v>
      </c>
      <c r="I149" s="6" t="s">
        <v>26</v>
      </c>
      <c r="J149" s="6"/>
    </row>
    <row r="150" customFormat="false" ht="15" hidden="false" customHeight="true" outlineLevel="0" collapsed="false">
      <c r="A150" s="3" t="s">
        <v>310</v>
      </c>
      <c r="B150" s="3" t="s">
        <v>123</v>
      </c>
      <c r="C150" s="3" t="n">
        <v>2024</v>
      </c>
      <c r="D150" s="4" t="s">
        <v>22</v>
      </c>
      <c r="E150" s="3" t="s">
        <v>70</v>
      </c>
      <c r="F150" s="3" t="s">
        <v>71</v>
      </c>
      <c r="G150" s="3" t="s">
        <v>72</v>
      </c>
      <c r="H150" s="5" t="n">
        <v>5000</v>
      </c>
      <c r="I150" s="3" t="s">
        <v>73</v>
      </c>
      <c r="J150" s="3"/>
    </row>
    <row r="151" customFormat="false" ht="15" hidden="false" customHeight="true" outlineLevel="0" collapsed="false">
      <c r="A151" s="6" t="s">
        <v>311</v>
      </c>
      <c r="B151" s="6" t="s">
        <v>123</v>
      </c>
      <c r="C151" s="6" t="n">
        <v>2024</v>
      </c>
      <c r="D151" s="7" t="s">
        <v>28</v>
      </c>
      <c r="E151" s="6" t="s">
        <v>29</v>
      </c>
      <c r="F151" s="6" t="s">
        <v>30</v>
      </c>
      <c r="G151" s="6" t="s">
        <v>312</v>
      </c>
      <c r="H151" s="8" t="n">
        <v>10451</v>
      </c>
      <c r="I151" s="6" t="s">
        <v>46</v>
      </c>
      <c r="J151" s="6"/>
    </row>
    <row r="152" customFormat="false" ht="15" hidden="false" customHeight="true" outlineLevel="0" collapsed="false">
      <c r="A152" s="3" t="s">
        <v>313</v>
      </c>
      <c r="B152" s="3" t="s">
        <v>123</v>
      </c>
      <c r="C152" s="3" t="n">
        <v>2024</v>
      </c>
      <c r="D152" s="4" t="s">
        <v>28</v>
      </c>
      <c r="E152" s="3" t="s">
        <v>33</v>
      </c>
      <c r="F152" s="3" t="s">
        <v>34</v>
      </c>
      <c r="G152" s="3" t="s">
        <v>314</v>
      </c>
      <c r="H152" s="5" t="n">
        <v>2666</v>
      </c>
      <c r="I152" s="3" t="s">
        <v>73</v>
      </c>
      <c r="J152" s="3"/>
    </row>
    <row r="153" customFormat="false" ht="15" hidden="false" customHeight="true" outlineLevel="0" collapsed="false">
      <c r="A153" s="6" t="s">
        <v>315</v>
      </c>
      <c r="B153" s="6" t="s">
        <v>123</v>
      </c>
      <c r="C153" s="6" t="n">
        <v>2024</v>
      </c>
      <c r="D153" s="7" t="s">
        <v>28</v>
      </c>
      <c r="E153" s="6" t="s">
        <v>57</v>
      </c>
      <c r="F153" s="6" t="s">
        <v>79</v>
      </c>
      <c r="G153" s="6" t="s">
        <v>316</v>
      </c>
      <c r="H153" s="8" t="n">
        <v>1338</v>
      </c>
      <c r="I153" s="6" t="s">
        <v>89</v>
      </c>
      <c r="J153" s="6"/>
    </row>
    <row r="154" customFormat="false" ht="15" hidden="false" customHeight="true" outlineLevel="0" collapsed="false">
      <c r="A154" s="3" t="s">
        <v>317</v>
      </c>
      <c r="B154" s="3" t="s">
        <v>123</v>
      </c>
      <c r="C154" s="3" t="n">
        <v>2024</v>
      </c>
      <c r="D154" s="4" t="s">
        <v>28</v>
      </c>
      <c r="E154" s="3" t="s">
        <v>179</v>
      </c>
      <c r="F154" s="3" t="s">
        <v>180</v>
      </c>
      <c r="G154" s="3" t="s">
        <v>318</v>
      </c>
      <c r="H154" s="5" t="n">
        <v>1571</v>
      </c>
      <c r="I154" s="3" t="s">
        <v>73</v>
      </c>
      <c r="J154" s="3"/>
    </row>
    <row r="155" customFormat="false" ht="15" hidden="false" customHeight="true" outlineLevel="0" collapsed="false">
      <c r="A155" s="6" t="s">
        <v>319</v>
      </c>
      <c r="B155" s="6" t="s">
        <v>123</v>
      </c>
      <c r="C155" s="6" t="n">
        <v>2024</v>
      </c>
      <c r="D155" s="7" t="s">
        <v>28</v>
      </c>
      <c r="E155" s="6" t="s">
        <v>37</v>
      </c>
      <c r="F155" s="6" t="s">
        <v>182</v>
      </c>
      <c r="G155" s="6" t="s">
        <v>320</v>
      </c>
      <c r="H155" s="8" t="n">
        <v>1580</v>
      </c>
      <c r="I155" s="6" t="s">
        <v>26</v>
      </c>
      <c r="J155" s="6"/>
    </row>
    <row r="156" customFormat="false" ht="15" hidden="false" customHeight="true" outlineLevel="0" collapsed="false">
      <c r="A156" s="3" t="s">
        <v>321</v>
      </c>
      <c r="B156" s="3" t="s">
        <v>123</v>
      </c>
      <c r="C156" s="3" t="n">
        <v>2024</v>
      </c>
      <c r="D156" s="4" t="s">
        <v>28</v>
      </c>
      <c r="E156" s="3" t="s">
        <v>40</v>
      </c>
      <c r="F156" s="3" t="s">
        <v>148</v>
      </c>
      <c r="G156" s="3" t="s">
        <v>322</v>
      </c>
      <c r="H156" s="5" t="n">
        <v>900</v>
      </c>
      <c r="I156" s="3" t="s">
        <v>89</v>
      </c>
      <c r="J156" s="3"/>
    </row>
    <row r="157" customFormat="false" ht="15" hidden="false" customHeight="true" outlineLevel="0" collapsed="false">
      <c r="A157" s="6" t="s">
        <v>323</v>
      </c>
      <c r="B157" s="6" t="s">
        <v>123</v>
      </c>
      <c r="C157" s="6" t="n">
        <v>2024</v>
      </c>
      <c r="D157" s="7" t="s">
        <v>28</v>
      </c>
      <c r="E157" s="6" t="s">
        <v>43</v>
      </c>
      <c r="F157" s="6" t="s">
        <v>324</v>
      </c>
      <c r="G157" s="6" t="s">
        <v>325</v>
      </c>
      <c r="H157" s="8" t="n">
        <v>2302</v>
      </c>
      <c r="I157" s="6" t="s">
        <v>26</v>
      </c>
      <c r="J157" s="6"/>
    </row>
    <row r="158" customFormat="false" ht="15" hidden="false" customHeight="true" outlineLevel="0" collapsed="false">
      <c r="A158" s="3" t="s">
        <v>326</v>
      </c>
      <c r="B158" s="3" t="s">
        <v>123</v>
      </c>
      <c r="C158" s="3" t="n">
        <v>2024</v>
      </c>
      <c r="D158" s="4" t="s">
        <v>28</v>
      </c>
      <c r="E158" s="3" t="s">
        <v>101</v>
      </c>
      <c r="F158" s="3" t="s">
        <v>120</v>
      </c>
      <c r="G158" s="3" t="s">
        <v>327</v>
      </c>
      <c r="H158" s="5" t="n">
        <v>979</v>
      </c>
      <c r="I158" s="3" t="s">
        <v>46</v>
      </c>
      <c r="J158" s="3"/>
    </row>
    <row r="159" customFormat="false" ht="15" hidden="false" customHeight="true" outlineLevel="0" collapsed="false">
      <c r="A159" s="6" t="s">
        <v>328</v>
      </c>
      <c r="B159" s="6" t="s">
        <v>139</v>
      </c>
      <c r="C159" s="6" t="n">
        <v>2024</v>
      </c>
      <c r="D159" s="7" t="s">
        <v>12</v>
      </c>
      <c r="E159" s="6" t="s">
        <v>13</v>
      </c>
      <c r="F159" s="6" t="s">
        <v>14</v>
      </c>
      <c r="G159" s="6" t="s">
        <v>15</v>
      </c>
      <c r="H159" s="8" t="n">
        <v>65000</v>
      </c>
      <c r="I159" s="6" t="s">
        <v>16</v>
      </c>
      <c r="J159" s="6"/>
    </row>
    <row r="160" customFormat="false" ht="15" hidden="false" customHeight="true" outlineLevel="0" collapsed="false">
      <c r="A160" s="3" t="s">
        <v>329</v>
      </c>
      <c r="B160" s="3" t="s">
        <v>139</v>
      </c>
      <c r="C160" s="3" t="n">
        <v>2024</v>
      </c>
      <c r="D160" s="4" t="s">
        <v>22</v>
      </c>
      <c r="E160" s="3" t="s">
        <v>23</v>
      </c>
      <c r="F160" s="3" t="s">
        <v>24</v>
      </c>
      <c r="G160" s="3" t="s">
        <v>25</v>
      </c>
      <c r="H160" s="5" t="n">
        <v>10000</v>
      </c>
      <c r="I160" s="3" t="s">
        <v>26</v>
      </c>
      <c r="J160" s="3"/>
    </row>
    <row r="161" customFormat="false" ht="15" hidden="false" customHeight="true" outlineLevel="0" collapsed="false">
      <c r="A161" s="6" t="s">
        <v>330</v>
      </c>
      <c r="B161" s="6" t="s">
        <v>139</v>
      </c>
      <c r="C161" s="6" t="n">
        <v>2024</v>
      </c>
      <c r="D161" s="7" t="s">
        <v>28</v>
      </c>
      <c r="E161" s="6" t="s">
        <v>57</v>
      </c>
      <c r="F161" s="6" t="s">
        <v>91</v>
      </c>
      <c r="G161" s="6" t="s">
        <v>331</v>
      </c>
      <c r="H161" s="8" t="n">
        <v>1238</v>
      </c>
      <c r="I161" s="6" t="s">
        <v>89</v>
      </c>
      <c r="J161" s="6"/>
    </row>
    <row r="162" customFormat="false" ht="15" hidden="false" customHeight="true" outlineLevel="0" collapsed="false">
      <c r="A162" s="3" t="s">
        <v>332</v>
      </c>
      <c r="B162" s="3" t="s">
        <v>139</v>
      </c>
      <c r="C162" s="3" t="n">
        <v>2024</v>
      </c>
      <c r="D162" s="4" t="s">
        <v>28</v>
      </c>
      <c r="E162" s="3" t="s">
        <v>179</v>
      </c>
      <c r="F162" s="3" t="s">
        <v>225</v>
      </c>
      <c r="G162" s="3" t="s">
        <v>333</v>
      </c>
      <c r="H162" s="5" t="n">
        <v>1526</v>
      </c>
      <c r="I162" s="3" t="s">
        <v>26</v>
      </c>
      <c r="J162" s="3"/>
    </row>
    <row r="163" customFormat="false" ht="15" hidden="false" customHeight="true" outlineLevel="0" collapsed="false">
      <c r="A163" s="6" t="s">
        <v>334</v>
      </c>
      <c r="B163" s="6" t="s">
        <v>139</v>
      </c>
      <c r="C163" s="6" t="n">
        <v>2024</v>
      </c>
      <c r="D163" s="7" t="s">
        <v>28</v>
      </c>
      <c r="E163" s="6" t="s">
        <v>37</v>
      </c>
      <c r="F163" s="6" t="s">
        <v>38</v>
      </c>
      <c r="G163" s="6" t="s">
        <v>335</v>
      </c>
      <c r="H163" s="8" t="n">
        <v>3255</v>
      </c>
      <c r="I163" s="6" t="s">
        <v>89</v>
      </c>
      <c r="J163" s="6"/>
    </row>
    <row r="164" customFormat="false" ht="15" hidden="false" customHeight="true" outlineLevel="0" collapsed="false">
      <c r="A164" s="3" t="s">
        <v>336</v>
      </c>
      <c r="B164" s="3" t="s">
        <v>155</v>
      </c>
      <c r="C164" s="3" t="n">
        <v>2024</v>
      </c>
      <c r="D164" s="4" t="s">
        <v>12</v>
      </c>
      <c r="E164" s="3" t="s">
        <v>13</v>
      </c>
      <c r="F164" s="3" t="s">
        <v>14</v>
      </c>
      <c r="G164" s="3" t="s">
        <v>15</v>
      </c>
      <c r="H164" s="5" t="n">
        <v>65000</v>
      </c>
      <c r="I164" s="3" t="s">
        <v>16</v>
      </c>
      <c r="J164" s="3"/>
    </row>
    <row r="165" customFormat="false" ht="15" hidden="false" customHeight="true" outlineLevel="0" collapsed="false">
      <c r="A165" s="6" t="s">
        <v>337</v>
      </c>
      <c r="B165" s="6" t="s">
        <v>155</v>
      </c>
      <c r="C165" s="6" t="n">
        <v>2024</v>
      </c>
      <c r="D165" s="7" t="s">
        <v>22</v>
      </c>
      <c r="E165" s="6" t="s">
        <v>23</v>
      </c>
      <c r="F165" s="6" t="s">
        <v>24</v>
      </c>
      <c r="G165" s="6" t="s">
        <v>25</v>
      </c>
      <c r="H165" s="8" t="n">
        <v>10000</v>
      </c>
      <c r="I165" s="6" t="s">
        <v>26</v>
      </c>
      <c r="J165" s="6"/>
    </row>
    <row r="166" customFormat="false" ht="15" hidden="false" customHeight="true" outlineLevel="0" collapsed="false">
      <c r="A166" s="3" t="s">
        <v>338</v>
      </c>
      <c r="B166" s="3" t="s">
        <v>155</v>
      </c>
      <c r="C166" s="3" t="n">
        <v>2024</v>
      </c>
      <c r="D166" s="4" t="s">
        <v>28</v>
      </c>
      <c r="E166" s="3" t="s">
        <v>33</v>
      </c>
      <c r="F166" s="3" t="s">
        <v>54</v>
      </c>
      <c r="G166" s="3" t="s">
        <v>339</v>
      </c>
      <c r="H166" s="5" t="n">
        <v>5180</v>
      </c>
      <c r="I166" s="3" t="s">
        <v>89</v>
      </c>
      <c r="J166" s="3"/>
    </row>
    <row r="167" customFormat="false" ht="15" hidden="false" customHeight="true" outlineLevel="0" collapsed="false">
      <c r="A167" s="6" t="s">
        <v>340</v>
      </c>
      <c r="B167" s="6" t="s">
        <v>155</v>
      </c>
      <c r="C167" s="6" t="n">
        <v>2024</v>
      </c>
      <c r="D167" s="7" t="s">
        <v>28</v>
      </c>
      <c r="E167" s="6" t="s">
        <v>40</v>
      </c>
      <c r="F167" s="6" t="s">
        <v>115</v>
      </c>
      <c r="G167" s="6" t="s">
        <v>341</v>
      </c>
      <c r="H167" s="8" t="n">
        <v>769</v>
      </c>
      <c r="I167" s="6" t="s">
        <v>16</v>
      </c>
      <c r="J167" s="6"/>
    </row>
    <row r="168" customFormat="false" ht="15" hidden="false" customHeight="true" outlineLevel="0" collapsed="false">
      <c r="A168" s="3" t="s">
        <v>342</v>
      </c>
      <c r="B168" s="3" t="s">
        <v>155</v>
      </c>
      <c r="C168" s="3" t="n">
        <v>2024</v>
      </c>
      <c r="D168" s="4" t="s">
        <v>28</v>
      </c>
      <c r="E168" s="3" t="s">
        <v>43</v>
      </c>
      <c r="F168" s="3" t="s">
        <v>98</v>
      </c>
      <c r="G168" s="3" t="s">
        <v>343</v>
      </c>
      <c r="H168" s="5" t="n">
        <v>2744</v>
      </c>
      <c r="I168" s="3" t="s">
        <v>73</v>
      </c>
      <c r="J168" s="3"/>
    </row>
    <row r="169" customFormat="false" ht="15" hidden="false" customHeight="true" outlineLevel="0" collapsed="false">
      <c r="A169" s="6" t="s">
        <v>344</v>
      </c>
      <c r="B169" s="6" t="s">
        <v>170</v>
      </c>
      <c r="C169" s="6" t="n">
        <v>2024</v>
      </c>
      <c r="D169" s="7" t="s">
        <v>12</v>
      </c>
      <c r="E169" s="6" t="s">
        <v>13</v>
      </c>
      <c r="F169" s="6" t="s">
        <v>14</v>
      </c>
      <c r="G169" s="6" t="s">
        <v>15</v>
      </c>
      <c r="H169" s="8" t="n">
        <v>65000</v>
      </c>
      <c r="I169" s="6" t="s">
        <v>16</v>
      </c>
      <c r="J169" s="6"/>
    </row>
    <row r="170" customFormat="false" ht="15" hidden="false" customHeight="true" outlineLevel="0" collapsed="false">
      <c r="A170" s="3" t="s">
        <v>345</v>
      </c>
      <c r="B170" s="3" t="s">
        <v>170</v>
      </c>
      <c r="C170" s="3" t="n">
        <v>2024</v>
      </c>
      <c r="D170" s="4" t="s">
        <v>12</v>
      </c>
      <c r="E170" s="3" t="s">
        <v>13</v>
      </c>
      <c r="F170" s="3" t="s">
        <v>65</v>
      </c>
      <c r="G170" s="3" t="s">
        <v>66</v>
      </c>
      <c r="H170" s="5" t="n">
        <v>10333</v>
      </c>
      <c r="I170" s="3" t="s">
        <v>16</v>
      </c>
      <c r="J170" s="3"/>
    </row>
    <row r="171" customFormat="false" ht="15" hidden="false" customHeight="true" outlineLevel="0" collapsed="false">
      <c r="A171" s="6" t="s">
        <v>346</v>
      </c>
      <c r="B171" s="6" t="s">
        <v>170</v>
      </c>
      <c r="C171" s="6" t="n">
        <v>2024</v>
      </c>
      <c r="D171" s="7" t="s">
        <v>12</v>
      </c>
      <c r="E171" s="6" t="s">
        <v>18</v>
      </c>
      <c r="F171" s="6" t="s">
        <v>19</v>
      </c>
      <c r="G171" s="6" t="s">
        <v>20</v>
      </c>
      <c r="H171" s="8" t="n">
        <v>8908</v>
      </c>
      <c r="I171" s="6" t="s">
        <v>16</v>
      </c>
      <c r="J171" s="6"/>
    </row>
    <row r="172" customFormat="false" ht="15" hidden="false" customHeight="true" outlineLevel="0" collapsed="false">
      <c r="A172" s="3" t="s">
        <v>347</v>
      </c>
      <c r="B172" s="3" t="s">
        <v>170</v>
      </c>
      <c r="C172" s="3" t="n">
        <v>2024</v>
      </c>
      <c r="D172" s="4" t="s">
        <v>22</v>
      </c>
      <c r="E172" s="3" t="s">
        <v>23</v>
      </c>
      <c r="F172" s="3" t="s">
        <v>24</v>
      </c>
      <c r="G172" s="3" t="s">
        <v>25</v>
      </c>
      <c r="H172" s="5" t="n">
        <v>10000</v>
      </c>
      <c r="I172" s="3" t="s">
        <v>26</v>
      </c>
      <c r="J172" s="3"/>
    </row>
    <row r="173" customFormat="false" ht="15" hidden="false" customHeight="true" outlineLevel="0" collapsed="false">
      <c r="A173" s="6" t="s">
        <v>348</v>
      </c>
      <c r="B173" s="6" t="s">
        <v>170</v>
      </c>
      <c r="C173" s="6" t="n">
        <v>2024</v>
      </c>
      <c r="D173" s="7" t="s">
        <v>22</v>
      </c>
      <c r="E173" s="6" t="s">
        <v>70</v>
      </c>
      <c r="F173" s="6" t="s">
        <v>71</v>
      </c>
      <c r="G173" s="6" t="s">
        <v>72</v>
      </c>
      <c r="H173" s="8" t="n">
        <v>5000</v>
      </c>
      <c r="I173" s="6" t="s">
        <v>73</v>
      </c>
      <c r="J173" s="6"/>
    </row>
    <row r="174" customFormat="false" ht="15" hidden="false" customHeight="true" outlineLevel="0" collapsed="false">
      <c r="A174" s="3" t="s">
        <v>349</v>
      </c>
      <c r="B174" s="3" t="s">
        <v>170</v>
      </c>
      <c r="C174" s="3" t="n">
        <v>2024</v>
      </c>
      <c r="D174" s="4" t="s">
        <v>28</v>
      </c>
      <c r="E174" s="3" t="s">
        <v>33</v>
      </c>
      <c r="F174" s="3" t="s">
        <v>239</v>
      </c>
      <c r="G174" s="3" t="s">
        <v>350</v>
      </c>
      <c r="H174" s="5" t="n">
        <v>4004</v>
      </c>
      <c r="I174" s="3" t="s">
        <v>46</v>
      </c>
      <c r="J174" s="3"/>
    </row>
    <row r="175" customFormat="false" ht="15" hidden="false" customHeight="true" outlineLevel="0" collapsed="false">
      <c r="A175" s="6" t="s">
        <v>351</v>
      </c>
      <c r="B175" s="6" t="s">
        <v>170</v>
      </c>
      <c r="C175" s="6" t="n">
        <v>2024</v>
      </c>
      <c r="D175" s="7" t="s">
        <v>28</v>
      </c>
      <c r="E175" s="6" t="s">
        <v>57</v>
      </c>
      <c r="F175" s="6" t="s">
        <v>79</v>
      </c>
      <c r="G175" s="6" t="s">
        <v>352</v>
      </c>
      <c r="H175" s="8" t="n">
        <v>2140</v>
      </c>
      <c r="I175" s="6" t="s">
        <v>16</v>
      </c>
      <c r="J175" s="6"/>
    </row>
    <row r="176" customFormat="false" ht="15" hidden="false" customHeight="true" outlineLevel="0" collapsed="false">
      <c r="A176" s="3" t="s">
        <v>345</v>
      </c>
      <c r="B176" s="3" t="s">
        <v>170</v>
      </c>
      <c r="C176" s="3" t="n">
        <v>2024</v>
      </c>
      <c r="D176" s="4" t="s">
        <v>28</v>
      </c>
      <c r="E176" s="3" t="s">
        <v>179</v>
      </c>
      <c r="F176" s="3" t="s">
        <v>194</v>
      </c>
      <c r="G176" s="3" t="s">
        <v>353</v>
      </c>
      <c r="H176" s="5" t="n">
        <v>1357</v>
      </c>
      <c r="I176" s="3" t="s">
        <v>26</v>
      </c>
      <c r="J176" s="3"/>
    </row>
    <row r="177" customFormat="false" ht="15" hidden="false" customHeight="true" outlineLevel="0" collapsed="false">
      <c r="A177" s="6" t="s">
        <v>349</v>
      </c>
      <c r="B177" s="6" t="s">
        <v>170</v>
      </c>
      <c r="C177" s="6" t="n">
        <v>2024</v>
      </c>
      <c r="D177" s="7" t="s">
        <v>28</v>
      </c>
      <c r="E177" s="6" t="s">
        <v>43</v>
      </c>
      <c r="F177" s="6" t="s">
        <v>324</v>
      </c>
      <c r="G177" s="6" t="s">
        <v>354</v>
      </c>
      <c r="H177" s="8" t="n">
        <v>2012</v>
      </c>
      <c r="I177" s="6" t="s">
        <v>73</v>
      </c>
      <c r="J177" s="6"/>
    </row>
    <row r="178" customFormat="false" ht="15" hidden="false" customHeight="true" outlineLevel="0" collapsed="false">
      <c r="A178" s="3" t="s">
        <v>355</v>
      </c>
      <c r="B178" s="3" t="s">
        <v>188</v>
      </c>
      <c r="C178" s="3" t="n">
        <v>2024</v>
      </c>
      <c r="D178" s="4" t="s">
        <v>12</v>
      </c>
      <c r="E178" s="3" t="s">
        <v>13</v>
      </c>
      <c r="F178" s="3" t="s">
        <v>14</v>
      </c>
      <c r="G178" s="3" t="s">
        <v>15</v>
      </c>
      <c r="H178" s="5" t="n">
        <v>65000</v>
      </c>
      <c r="I178" s="3" t="s">
        <v>16</v>
      </c>
      <c r="J178" s="3"/>
    </row>
    <row r="179" customFormat="false" ht="15" hidden="false" customHeight="true" outlineLevel="0" collapsed="false">
      <c r="A179" s="6" t="s">
        <v>356</v>
      </c>
      <c r="B179" s="6" t="s">
        <v>188</v>
      </c>
      <c r="C179" s="6" t="n">
        <v>2024</v>
      </c>
      <c r="D179" s="7" t="s">
        <v>12</v>
      </c>
      <c r="E179" s="6" t="s">
        <v>18</v>
      </c>
      <c r="F179" s="6" t="s">
        <v>19</v>
      </c>
      <c r="G179" s="6" t="s">
        <v>20</v>
      </c>
      <c r="H179" s="8" t="n">
        <v>15276</v>
      </c>
      <c r="I179" s="6" t="s">
        <v>16</v>
      </c>
      <c r="J179" s="6"/>
    </row>
    <row r="180" customFormat="false" ht="15" hidden="false" customHeight="true" outlineLevel="0" collapsed="false">
      <c r="A180" s="3" t="s">
        <v>357</v>
      </c>
      <c r="B180" s="3" t="s">
        <v>188</v>
      </c>
      <c r="C180" s="3" t="n">
        <v>2024</v>
      </c>
      <c r="D180" s="4" t="s">
        <v>22</v>
      </c>
      <c r="E180" s="3" t="s">
        <v>23</v>
      </c>
      <c r="F180" s="3" t="s">
        <v>24</v>
      </c>
      <c r="G180" s="3" t="s">
        <v>25</v>
      </c>
      <c r="H180" s="5" t="n">
        <v>10000</v>
      </c>
      <c r="I180" s="3" t="s">
        <v>26</v>
      </c>
      <c r="J180" s="3"/>
    </row>
    <row r="181" customFormat="false" ht="15" hidden="false" customHeight="true" outlineLevel="0" collapsed="false">
      <c r="A181" s="6" t="s">
        <v>358</v>
      </c>
      <c r="B181" s="6" t="s">
        <v>188</v>
      </c>
      <c r="C181" s="6" t="n">
        <v>2024</v>
      </c>
      <c r="D181" s="7" t="s">
        <v>28</v>
      </c>
      <c r="E181" s="6" t="s">
        <v>33</v>
      </c>
      <c r="F181" s="6" t="s">
        <v>54</v>
      </c>
      <c r="G181" s="6" t="s">
        <v>359</v>
      </c>
      <c r="H181" s="8" t="n">
        <v>4902</v>
      </c>
      <c r="I181" s="6" t="s">
        <v>16</v>
      </c>
      <c r="J181" s="6"/>
    </row>
    <row r="182" customFormat="false" ht="15" hidden="false" customHeight="true" outlineLevel="0" collapsed="false">
      <c r="A182" s="3" t="s">
        <v>360</v>
      </c>
      <c r="B182" s="3" t="s">
        <v>188</v>
      </c>
      <c r="C182" s="3" t="n">
        <v>2024</v>
      </c>
      <c r="D182" s="4" t="s">
        <v>28</v>
      </c>
      <c r="E182" s="3" t="s">
        <v>57</v>
      </c>
      <c r="F182" s="3" t="s">
        <v>58</v>
      </c>
      <c r="G182" s="3" t="s">
        <v>361</v>
      </c>
      <c r="H182" s="5" t="n">
        <v>1611</v>
      </c>
      <c r="I182" s="3" t="s">
        <v>89</v>
      </c>
      <c r="J182" s="3"/>
    </row>
    <row r="183" customFormat="false" ht="15" hidden="false" customHeight="true" outlineLevel="0" collapsed="false">
      <c r="A183" s="6" t="s">
        <v>362</v>
      </c>
      <c r="B183" s="6" t="s">
        <v>188</v>
      </c>
      <c r="C183" s="6" t="n">
        <v>2024</v>
      </c>
      <c r="D183" s="7" t="s">
        <v>28</v>
      </c>
      <c r="E183" s="6" t="s">
        <v>179</v>
      </c>
      <c r="F183" s="6" t="s">
        <v>225</v>
      </c>
      <c r="G183" s="6" t="s">
        <v>363</v>
      </c>
      <c r="H183" s="8" t="n">
        <v>1756</v>
      </c>
      <c r="I183" s="6" t="s">
        <v>46</v>
      </c>
      <c r="J183" s="6"/>
    </row>
    <row r="184" customFormat="false" ht="15" hidden="false" customHeight="true" outlineLevel="0" collapsed="false">
      <c r="A184" s="3" t="s">
        <v>364</v>
      </c>
      <c r="B184" s="3" t="s">
        <v>188</v>
      </c>
      <c r="C184" s="3" t="n">
        <v>2024</v>
      </c>
      <c r="D184" s="4" t="s">
        <v>28</v>
      </c>
      <c r="E184" s="3" t="s">
        <v>40</v>
      </c>
      <c r="F184" s="3" t="s">
        <v>41</v>
      </c>
      <c r="G184" s="3" t="s">
        <v>365</v>
      </c>
      <c r="H184" s="5" t="n">
        <v>648</v>
      </c>
      <c r="I184" s="3" t="s">
        <v>46</v>
      </c>
      <c r="J184" s="3"/>
    </row>
    <row r="185" customFormat="false" ht="15" hidden="false" customHeight="true" outlineLevel="0" collapsed="false">
      <c r="A185" s="6" t="s">
        <v>366</v>
      </c>
      <c r="B185" s="6" t="s">
        <v>188</v>
      </c>
      <c r="C185" s="6" t="n">
        <v>2024</v>
      </c>
      <c r="D185" s="7" t="s">
        <v>28</v>
      </c>
      <c r="E185" s="6" t="s">
        <v>43</v>
      </c>
      <c r="F185" s="6" t="s">
        <v>324</v>
      </c>
      <c r="G185" s="6" t="s">
        <v>367</v>
      </c>
      <c r="H185" s="8" t="n">
        <v>2648</v>
      </c>
      <c r="I185" s="6" t="s">
        <v>89</v>
      </c>
      <c r="J185" s="6"/>
    </row>
    <row r="186" customFormat="false" ht="15" hidden="false" customHeight="true" outlineLevel="0" collapsed="false">
      <c r="A186" s="3" t="s">
        <v>368</v>
      </c>
      <c r="B186" s="3" t="s">
        <v>202</v>
      </c>
      <c r="C186" s="3" t="n">
        <v>2024</v>
      </c>
      <c r="D186" s="4" t="s">
        <v>12</v>
      </c>
      <c r="E186" s="3" t="s">
        <v>13</v>
      </c>
      <c r="F186" s="3" t="s">
        <v>14</v>
      </c>
      <c r="G186" s="3" t="s">
        <v>15</v>
      </c>
      <c r="H186" s="5" t="n">
        <v>65000</v>
      </c>
      <c r="I186" s="3" t="s">
        <v>16</v>
      </c>
      <c r="J186" s="3"/>
    </row>
    <row r="187" customFormat="false" ht="15" hidden="false" customHeight="true" outlineLevel="0" collapsed="false">
      <c r="A187" s="6" t="s">
        <v>369</v>
      </c>
      <c r="B187" s="6" t="s">
        <v>202</v>
      </c>
      <c r="C187" s="6" t="n">
        <v>2024</v>
      </c>
      <c r="D187" s="7" t="s">
        <v>22</v>
      </c>
      <c r="E187" s="6" t="s">
        <v>23</v>
      </c>
      <c r="F187" s="6" t="s">
        <v>24</v>
      </c>
      <c r="G187" s="6" t="s">
        <v>25</v>
      </c>
      <c r="H187" s="8" t="n">
        <v>10000</v>
      </c>
      <c r="I187" s="6" t="s">
        <v>26</v>
      </c>
      <c r="J187" s="6"/>
    </row>
    <row r="188" customFormat="false" ht="15" hidden="false" customHeight="true" outlineLevel="0" collapsed="false">
      <c r="A188" s="3" t="s">
        <v>370</v>
      </c>
      <c r="B188" s="3" t="s">
        <v>202</v>
      </c>
      <c r="C188" s="3" t="n">
        <v>2024</v>
      </c>
      <c r="D188" s="4" t="s">
        <v>28</v>
      </c>
      <c r="E188" s="3" t="s">
        <v>29</v>
      </c>
      <c r="F188" s="3" t="s">
        <v>108</v>
      </c>
      <c r="G188" s="3" t="s">
        <v>371</v>
      </c>
      <c r="H188" s="5" t="n">
        <v>14817</v>
      </c>
      <c r="I188" s="3" t="s">
        <v>89</v>
      </c>
      <c r="J188" s="3"/>
    </row>
    <row r="189" customFormat="false" ht="15" hidden="false" customHeight="true" outlineLevel="0" collapsed="false">
      <c r="A189" s="6" t="s">
        <v>372</v>
      </c>
      <c r="B189" s="6" t="s">
        <v>202</v>
      </c>
      <c r="C189" s="6" t="n">
        <v>2024</v>
      </c>
      <c r="D189" s="7" t="s">
        <v>28</v>
      </c>
      <c r="E189" s="6" t="s">
        <v>33</v>
      </c>
      <c r="F189" s="6" t="s">
        <v>54</v>
      </c>
      <c r="G189" s="6" t="s">
        <v>373</v>
      </c>
      <c r="H189" s="8" t="n">
        <v>3420</v>
      </c>
      <c r="I189" s="6" t="s">
        <v>16</v>
      </c>
      <c r="J189" s="6"/>
    </row>
    <row r="190" customFormat="false" ht="15" hidden="false" customHeight="true" outlineLevel="0" collapsed="false">
      <c r="A190" s="3" t="s">
        <v>374</v>
      </c>
      <c r="B190" s="3" t="s">
        <v>202</v>
      </c>
      <c r="C190" s="3" t="n">
        <v>2024</v>
      </c>
      <c r="D190" s="4" t="s">
        <v>28</v>
      </c>
      <c r="E190" s="3" t="s">
        <v>179</v>
      </c>
      <c r="F190" s="3" t="s">
        <v>180</v>
      </c>
      <c r="G190" s="3" t="s">
        <v>375</v>
      </c>
      <c r="H190" s="5" t="n">
        <v>1496</v>
      </c>
      <c r="I190" s="3" t="s">
        <v>16</v>
      </c>
      <c r="J190" s="3"/>
    </row>
    <row r="191" customFormat="false" ht="15" hidden="false" customHeight="true" outlineLevel="0" collapsed="false">
      <c r="A191" s="6" t="s">
        <v>376</v>
      </c>
      <c r="B191" s="6" t="s">
        <v>202</v>
      </c>
      <c r="C191" s="6" t="n">
        <v>2024</v>
      </c>
      <c r="D191" s="7" t="s">
        <v>28</v>
      </c>
      <c r="E191" s="6" t="s">
        <v>37</v>
      </c>
      <c r="F191" s="6" t="s">
        <v>44</v>
      </c>
      <c r="G191" s="6" t="s">
        <v>377</v>
      </c>
      <c r="H191" s="8" t="n">
        <v>2244</v>
      </c>
      <c r="I191" s="6" t="s">
        <v>73</v>
      </c>
      <c r="J191" s="6"/>
    </row>
    <row r="192" customFormat="false" ht="15" hidden="false" customHeight="true" outlineLevel="0" collapsed="false">
      <c r="A192" s="3" t="s">
        <v>378</v>
      </c>
      <c r="B192" s="3" t="s">
        <v>202</v>
      </c>
      <c r="C192" s="3" t="n">
        <v>2024</v>
      </c>
      <c r="D192" s="4" t="s">
        <v>28</v>
      </c>
      <c r="E192" s="3" t="s">
        <v>40</v>
      </c>
      <c r="F192" s="3" t="s">
        <v>115</v>
      </c>
      <c r="G192" s="3" t="s">
        <v>379</v>
      </c>
      <c r="H192" s="5" t="n">
        <v>888</v>
      </c>
      <c r="I192" s="3" t="s">
        <v>26</v>
      </c>
      <c r="J192" s="3"/>
    </row>
    <row r="193" customFormat="false" ht="15" hidden="false" customHeight="true" outlineLevel="0" collapsed="false">
      <c r="A193" s="6" t="s">
        <v>380</v>
      </c>
      <c r="B193" s="6" t="s">
        <v>202</v>
      </c>
      <c r="C193" s="6" t="n">
        <v>2024</v>
      </c>
      <c r="D193" s="7" t="s">
        <v>28</v>
      </c>
      <c r="E193" s="6" t="s">
        <v>43</v>
      </c>
      <c r="F193" s="6" t="s">
        <v>199</v>
      </c>
      <c r="G193" s="6" t="s">
        <v>381</v>
      </c>
      <c r="H193" s="8" t="n">
        <v>2338</v>
      </c>
      <c r="I193" s="6" t="s">
        <v>26</v>
      </c>
      <c r="J193" s="6"/>
    </row>
    <row r="194" customFormat="false" ht="15" hidden="false" customHeight="true" outlineLevel="0" collapsed="false">
      <c r="A194" s="3" t="s">
        <v>382</v>
      </c>
      <c r="B194" s="3" t="s">
        <v>202</v>
      </c>
      <c r="C194" s="3" t="n">
        <v>2024</v>
      </c>
      <c r="D194" s="4" t="s">
        <v>28</v>
      </c>
      <c r="E194" s="3" t="s">
        <v>101</v>
      </c>
      <c r="F194" s="3" t="s">
        <v>185</v>
      </c>
      <c r="G194" s="3" t="s">
        <v>383</v>
      </c>
      <c r="H194" s="5" t="n">
        <v>727</v>
      </c>
      <c r="I194" s="3" t="s">
        <v>89</v>
      </c>
      <c r="J194" s="3"/>
    </row>
    <row r="195" customFormat="false" ht="15" hidden="false" customHeight="true" outlineLevel="0" collapsed="false">
      <c r="A195" s="6" t="s">
        <v>384</v>
      </c>
      <c r="B195" s="6" t="s">
        <v>216</v>
      </c>
      <c r="C195" s="6" t="n">
        <v>2024</v>
      </c>
      <c r="D195" s="7" t="s">
        <v>12</v>
      </c>
      <c r="E195" s="6" t="s">
        <v>13</v>
      </c>
      <c r="F195" s="6" t="s">
        <v>14</v>
      </c>
      <c r="G195" s="6" t="s">
        <v>15</v>
      </c>
      <c r="H195" s="8" t="n">
        <v>65000</v>
      </c>
      <c r="I195" s="6" t="s">
        <v>16</v>
      </c>
      <c r="J195" s="6"/>
    </row>
    <row r="196" customFormat="false" ht="15" hidden="false" customHeight="true" outlineLevel="0" collapsed="false">
      <c r="A196" s="3" t="s">
        <v>385</v>
      </c>
      <c r="B196" s="3" t="s">
        <v>216</v>
      </c>
      <c r="C196" s="3" t="n">
        <v>2024</v>
      </c>
      <c r="D196" s="4" t="s">
        <v>22</v>
      </c>
      <c r="E196" s="3" t="s">
        <v>23</v>
      </c>
      <c r="F196" s="3" t="s">
        <v>24</v>
      </c>
      <c r="G196" s="3" t="s">
        <v>25</v>
      </c>
      <c r="H196" s="5" t="n">
        <v>10000</v>
      </c>
      <c r="I196" s="3" t="s">
        <v>26</v>
      </c>
      <c r="J196" s="3"/>
    </row>
    <row r="197" customFormat="false" ht="15" hidden="false" customHeight="true" outlineLevel="0" collapsed="false">
      <c r="A197" s="6" t="s">
        <v>386</v>
      </c>
      <c r="B197" s="6" t="s">
        <v>216</v>
      </c>
      <c r="C197" s="6" t="n">
        <v>2024</v>
      </c>
      <c r="D197" s="7" t="s">
        <v>22</v>
      </c>
      <c r="E197" s="6" t="s">
        <v>70</v>
      </c>
      <c r="F197" s="6" t="s">
        <v>71</v>
      </c>
      <c r="G197" s="6" t="s">
        <v>72</v>
      </c>
      <c r="H197" s="8" t="n">
        <v>5000</v>
      </c>
      <c r="I197" s="6" t="s">
        <v>73</v>
      </c>
      <c r="J197" s="6"/>
    </row>
    <row r="198" customFormat="false" ht="15" hidden="false" customHeight="true" outlineLevel="0" collapsed="false">
      <c r="A198" s="3" t="s">
        <v>387</v>
      </c>
      <c r="B198" s="3" t="s">
        <v>216</v>
      </c>
      <c r="C198" s="3" t="n">
        <v>2024</v>
      </c>
      <c r="D198" s="4" t="s">
        <v>28</v>
      </c>
      <c r="E198" s="3" t="s">
        <v>29</v>
      </c>
      <c r="F198" s="3" t="s">
        <v>74</v>
      </c>
      <c r="G198" s="3" t="s">
        <v>388</v>
      </c>
      <c r="H198" s="5" t="n">
        <v>14041</v>
      </c>
      <c r="I198" s="3" t="s">
        <v>16</v>
      </c>
      <c r="J198" s="3"/>
    </row>
    <row r="199" customFormat="false" ht="15" hidden="false" customHeight="true" outlineLevel="0" collapsed="false">
      <c r="A199" s="6" t="s">
        <v>389</v>
      </c>
      <c r="B199" s="6" t="s">
        <v>216</v>
      </c>
      <c r="C199" s="6" t="n">
        <v>2024</v>
      </c>
      <c r="D199" s="7" t="s">
        <v>28</v>
      </c>
      <c r="E199" s="6" t="s">
        <v>179</v>
      </c>
      <c r="F199" s="6" t="s">
        <v>256</v>
      </c>
      <c r="G199" s="6" t="s">
        <v>390</v>
      </c>
      <c r="H199" s="8" t="n">
        <v>1475</v>
      </c>
      <c r="I199" s="6" t="s">
        <v>26</v>
      </c>
      <c r="J199" s="6"/>
    </row>
    <row r="200" customFormat="false" ht="15" hidden="false" customHeight="true" outlineLevel="0" collapsed="false">
      <c r="A200" s="3" t="s">
        <v>391</v>
      </c>
      <c r="B200" s="3" t="s">
        <v>216</v>
      </c>
      <c r="C200" s="3" t="n">
        <v>2024</v>
      </c>
      <c r="D200" s="4" t="s">
        <v>28</v>
      </c>
      <c r="E200" s="3" t="s">
        <v>37</v>
      </c>
      <c r="F200" s="3" t="s">
        <v>182</v>
      </c>
      <c r="G200" s="3" t="s">
        <v>392</v>
      </c>
      <c r="H200" s="5" t="n">
        <v>2854</v>
      </c>
      <c r="I200" s="3" t="s">
        <v>89</v>
      </c>
      <c r="J200" s="3"/>
    </row>
  </sheetData>
  <dataValidations count="1">
    <dataValidation allowBlank="false" errorStyle="stop" operator="between" showDropDown="false" showErrorMessage="false" showInputMessage="false" sqref="D2:D699" type="list">
      <formula1>"Income,Expense,Savings"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P2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7" min="5" style="1" width="13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8"/>
    <col collapsed="false" customWidth="true" hidden="false" outlineLevel="0" max="16" min="16" style="1" width="16"/>
  </cols>
  <sheetData>
    <row r="1" customFormat="false" ht="30" hidden="false" customHeight="true" outlineLevel="0" collapsed="false">
      <c r="A1" s="9" t="s">
        <v>393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9.5" hidden="false" customHeight="true" outlineLevel="0" collapsed="false">
      <c r="A2" s="10" t="s">
        <v>2</v>
      </c>
      <c r="B2" s="10" t="s">
        <v>1</v>
      </c>
      <c r="C2" s="10" t="s">
        <v>394</v>
      </c>
      <c r="D2" s="10" t="s">
        <v>395</v>
      </c>
      <c r="E2" s="10" t="s">
        <v>396</v>
      </c>
      <c r="F2" s="10" t="s">
        <v>397</v>
      </c>
      <c r="G2" s="10" t="s">
        <v>398</v>
      </c>
      <c r="H2" s="10" t="s">
        <v>29</v>
      </c>
      <c r="I2" s="10" t="s">
        <v>33</v>
      </c>
      <c r="J2" s="10" t="s">
        <v>57</v>
      </c>
      <c r="K2" s="10" t="s">
        <v>179</v>
      </c>
      <c r="L2" s="10" t="s">
        <v>37</v>
      </c>
      <c r="M2" s="10" t="s">
        <v>40</v>
      </c>
      <c r="N2" s="10" t="s">
        <v>43</v>
      </c>
      <c r="O2" s="10" t="s">
        <v>101</v>
      </c>
      <c r="P2" s="10" t="s">
        <v>399</v>
      </c>
    </row>
    <row r="3" customFormat="false" ht="15" hidden="false" customHeight="true" outlineLevel="0" collapsed="false">
      <c r="A3" s="7" t="n">
        <v>2023</v>
      </c>
      <c r="B3" s="7" t="s">
        <v>11</v>
      </c>
      <c r="C3" s="11" t="n">
        <f aca="false">SUMPRODUCT((RAW_DATA!B$2:B$5000=B3)*(RAW_DATA!C$2:C$5000=A3)*(RAW_DATA!D$2:D$5000="Income")*RAW_DATA!H$2:H$5000)</f>
        <v>70409</v>
      </c>
      <c r="D3" s="11" t="n">
        <f aca="false">SUMPRODUCT((RAW_DATA!B$2:B$5000=B3)*(RAW_DATA!C$2:C$5000=A3)*(RAW_DATA!D$2:D$5000="Expense")*RAW_DATA!H$2:H$5000)</f>
        <v>20261</v>
      </c>
      <c r="E3" s="11" t="n">
        <f aca="false">SUMPRODUCT((RAW_DATA!B$2:B$5000=B3)*(RAW_DATA!C$2:C$5000=A3)*(RAW_DATA!D$2:D$5000="Savings")*RAW_DATA!H$2:H$5000)</f>
        <v>10000</v>
      </c>
      <c r="F3" s="11" t="n">
        <f aca="false">C3-D3-E3</f>
        <v>40148</v>
      </c>
      <c r="G3" s="12" t="n">
        <f aca="false">IF(C3&gt;0,(E3+F3)/C3,0)</f>
        <v>0.712238492238208</v>
      </c>
      <c r="H3" s="11" t="n">
        <f aca="false">SUMPRODUCT((RAW_DATA!B$2:B$5000=B3)*(RAW_DATA!C$2:C$5000=A3)*(RAW_DATA!E$2:E$5000="Housing")*RAW_DATA!H$2:H$5000)</f>
        <v>9657</v>
      </c>
      <c r="I3" s="11" t="n">
        <f aca="false">SUMPRODUCT((RAW_DATA!B$2:B$5000=B3)*(RAW_DATA!C$2:C$5000=A3)*(RAW_DATA!E$2:E$5000="Food")*RAW_DATA!H$2:H$5000)</f>
        <v>4518</v>
      </c>
      <c r="J3" s="11" t="n">
        <f aca="false">SUMPRODUCT((RAW_DATA!B$2:B$5000=B3)*(RAW_DATA!C$2:C$5000=A3)*(RAW_DATA!E$2:E$5000="Transport")*RAW_DATA!H$2:H$5000)</f>
        <v>0</v>
      </c>
      <c r="K3" s="11" t="n">
        <f aca="false">SUMPRODUCT((RAW_DATA!B$2:B$5000=B3)*(RAW_DATA!C$2:C$5000=A3)*(RAW_DATA!E$2:E$5000="Health")*RAW_DATA!H$2:H$5000)</f>
        <v>0</v>
      </c>
      <c r="L3" s="11" t="n">
        <f aca="false">SUMPRODUCT((RAW_DATA!B$2:B$5000=B3)*(RAW_DATA!C$2:C$5000=A3)*(RAW_DATA!E$2:E$5000="Shopping")*RAW_DATA!H$2:H$5000)</f>
        <v>2314</v>
      </c>
      <c r="M3" s="11" t="n">
        <f aca="false">SUMPRODUCT((RAW_DATA!B$2:B$5000=B3)*(RAW_DATA!C$2:C$5000=A3)*(RAW_DATA!E$2:E$5000="Entertainment")*RAW_DATA!H$2:H$5000)</f>
        <v>1143</v>
      </c>
      <c r="N3" s="11" t="n">
        <f aca="false">SUMPRODUCT((RAW_DATA!B$2:B$5000=B3)*(RAW_DATA!C$2:C$5000=A3)*(RAW_DATA!E$2:E$5000="Education")*RAW_DATA!H$2:H$5000)</f>
        <v>2629</v>
      </c>
      <c r="O3" s="11" t="n">
        <f aca="false">SUMPRODUCT((RAW_DATA!B$2:B$5000=B3)*(RAW_DATA!C$2:C$5000=A3)*(RAW_DATA!E$2:E$5000="Others")*RAW_DATA!H$2:H$5000)</f>
        <v>0</v>
      </c>
      <c r="P3" s="11" t="n">
        <f aca="false">E3+F3</f>
        <v>50148</v>
      </c>
    </row>
    <row r="4" customFormat="false" ht="15" hidden="false" customHeight="true" outlineLevel="0" collapsed="false">
      <c r="A4" s="13" t="n">
        <v>2023</v>
      </c>
      <c r="B4" s="13" t="s">
        <v>48</v>
      </c>
      <c r="C4" s="14" t="n">
        <f aca="false">SUMPRODUCT((RAW_DATA!B$2:B$5000=B4)*(RAW_DATA!C$2:C$5000=A4)*(RAW_DATA!D$2:D$5000="Income")*RAW_DATA!H$2:H$5000)</f>
        <v>65000</v>
      </c>
      <c r="D4" s="14" t="n">
        <f aca="false">SUMPRODUCT((RAW_DATA!B$2:B$5000=B4)*(RAW_DATA!C$2:C$5000=A4)*(RAW_DATA!D$2:D$5000="Expense")*RAW_DATA!H$2:H$5000)</f>
        <v>16053</v>
      </c>
      <c r="E4" s="14" t="n">
        <f aca="false">SUMPRODUCT((RAW_DATA!B$2:B$5000=B4)*(RAW_DATA!C$2:C$5000=A4)*(RAW_DATA!D$2:D$5000="Savings")*RAW_DATA!H$2:H$5000)</f>
        <v>10000</v>
      </c>
      <c r="F4" s="14" t="n">
        <f aca="false">C4-D4-E4</f>
        <v>38947</v>
      </c>
      <c r="G4" s="15" t="n">
        <f aca="false">IF(C4&gt;0,(E4+F4)/C4,0)</f>
        <v>0.753030769230769</v>
      </c>
      <c r="H4" s="14" t="n">
        <f aca="false">SUMPRODUCT((RAW_DATA!B$2:B$5000=B4)*(RAW_DATA!C$2:C$5000=A4)*(RAW_DATA!E$2:E$5000="Housing")*RAW_DATA!H$2:H$5000)</f>
        <v>7519</v>
      </c>
      <c r="I4" s="14" t="n">
        <f aca="false">SUMPRODUCT((RAW_DATA!B$2:B$5000=B4)*(RAW_DATA!C$2:C$5000=A4)*(RAW_DATA!E$2:E$5000="Food")*RAW_DATA!H$2:H$5000)</f>
        <v>4572</v>
      </c>
      <c r="J4" s="14" t="n">
        <f aca="false">SUMPRODUCT((RAW_DATA!B$2:B$5000=B4)*(RAW_DATA!C$2:C$5000=A4)*(RAW_DATA!E$2:E$5000="Transport")*RAW_DATA!H$2:H$5000)</f>
        <v>1675</v>
      </c>
      <c r="K4" s="14" t="n">
        <f aca="false">SUMPRODUCT((RAW_DATA!B$2:B$5000=B4)*(RAW_DATA!C$2:C$5000=A4)*(RAW_DATA!E$2:E$5000="Health")*RAW_DATA!H$2:H$5000)</f>
        <v>0</v>
      </c>
      <c r="L4" s="14" t="n">
        <f aca="false">SUMPRODUCT((RAW_DATA!B$2:B$5000=B4)*(RAW_DATA!C$2:C$5000=A4)*(RAW_DATA!E$2:E$5000="Shopping")*RAW_DATA!H$2:H$5000)</f>
        <v>2287</v>
      </c>
      <c r="M4" s="14" t="n">
        <f aca="false">SUMPRODUCT((RAW_DATA!B$2:B$5000=B4)*(RAW_DATA!C$2:C$5000=A4)*(RAW_DATA!E$2:E$5000="Entertainment")*RAW_DATA!H$2:H$5000)</f>
        <v>0</v>
      </c>
      <c r="N4" s="14" t="n">
        <f aca="false">SUMPRODUCT((RAW_DATA!B$2:B$5000=B4)*(RAW_DATA!C$2:C$5000=A4)*(RAW_DATA!E$2:E$5000="Education")*RAW_DATA!H$2:H$5000)</f>
        <v>0</v>
      </c>
      <c r="O4" s="14" t="n">
        <f aca="false">SUMPRODUCT((RAW_DATA!B$2:B$5000=B4)*(RAW_DATA!C$2:C$5000=A4)*(RAW_DATA!E$2:E$5000="Others")*RAW_DATA!H$2:H$5000)</f>
        <v>0</v>
      </c>
      <c r="P4" s="14" t="n">
        <f aca="false">P3+E4+F4</f>
        <v>99095</v>
      </c>
    </row>
    <row r="5" customFormat="false" ht="15" hidden="false" customHeight="true" outlineLevel="0" collapsed="false">
      <c r="A5" s="7" t="n">
        <v>2023</v>
      </c>
      <c r="B5" s="7" t="s">
        <v>63</v>
      </c>
      <c r="C5" s="11" t="n">
        <f aca="false">SUMPRODUCT((RAW_DATA!B$2:B$5000=B5)*(RAW_DATA!C$2:C$5000=A5)*(RAW_DATA!D$2:D$5000="Income")*RAW_DATA!H$2:H$5000)</f>
        <v>82961</v>
      </c>
      <c r="D5" s="11" t="n">
        <f aca="false">SUMPRODUCT((RAW_DATA!B$2:B$5000=B5)*(RAW_DATA!C$2:C$5000=A5)*(RAW_DATA!D$2:D$5000="Expense")*RAW_DATA!H$2:H$5000)</f>
        <v>21772</v>
      </c>
      <c r="E5" s="11" t="n">
        <f aca="false">SUMPRODUCT((RAW_DATA!B$2:B$5000=B5)*(RAW_DATA!C$2:C$5000=A5)*(RAW_DATA!D$2:D$5000="Savings")*RAW_DATA!H$2:H$5000)</f>
        <v>15000</v>
      </c>
      <c r="F5" s="11" t="n">
        <f aca="false">C5-D5-E5</f>
        <v>46189</v>
      </c>
      <c r="G5" s="12" t="n">
        <f aca="false">IF(C5&gt;0,(E5+F5)/C5,0)</f>
        <v>0.737563433420523</v>
      </c>
      <c r="H5" s="11" t="n">
        <f aca="false">SUMPRODUCT((RAW_DATA!B$2:B$5000=B5)*(RAW_DATA!C$2:C$5000=A5)*(RAW_DATA!E$2:E$5000="Housing")*RAW_DATA!H$2:H$5000)</f>
        <v>11977</v>
      </c>
      <c r="I5" s="11" t="n">
        <f aca="false">SUMPRODUCT((RAW_DATA!B$2:B$5000=B5)*(RAW_DATA!C$2:C$5000=A5)*(RAW_DATA!E$2:E$5000="Food")*RAW_DATA!H$2:H$5000)</f>
        <v>4974</v>
      </c>
      <c r="J5" s="11" t="n">
        <f aca="false">SUMPRODUCT((RAW_DATA!B$2:B$5000=B5)*(RAW_DATA!C$2:C$5000=A5)*(RAW_DATA!E$2:E$5000="Transport")*RAW_DATA!H$2:H$5000)</f>
        <v>1993</v>
      </c>
      <c r="K5" s="11" t="n">
        <f aca="false">SUMPRODUCT((RAW_DATA!B$2:B$5000=B5)*(RAW_DATA!C$2:C$5000=A5)*(RAW_DATA!E$2:E$5000="Health")*RAW_DATA!H$2:H$5000)</f>
        <v>0</v>
      </c>
      <c r="L5" s="11" t="n">
        <f aca="false">SUMPRODUCT((RAW_DATA!B$2:B$5000=B5)*(RAW_DATA!C$2:C$5000=A5)*(RAW_DATA!E$2:E$5000="Shopping")*RAW_DATA!H$2:H$5000)</f>
        <v>2828</v>
      </c>
      <c r="M5" s="11" t="n">
        <f aca="false">SUMPRODUCT((RAW_DATA!B$2:B$5000=B5)*(RAW_DATA!C$2:C$5000=A5)*(RAW_DATA!E$2:E$5000="Entertainment")*RAW_DATA!H$2:H$5000)</f>
        <v>0</v>
      </c>
      <c r="N5" s="11" t="n">
        <f aca="false">SUMPRODUCT((RAW_DATA!B$2:B$5000=B5)*(RAW_DATA!C$2:C$5000=A5)*(RAW_DATA!E$2:E$5000="Education")*RAW_DATA!H$2:H$5000)</f>
        <v>0</v>
      </c>
      <c r="O5" s="11" t="n">
        <f aca="false">SUMPRODUCT((RAW_DATA!B$2:B$5000=B5)*(RAW_DATA!C$2:C$5000=A5)*(RAW_DATA!E$2:E$5000="Others")*RAW_DATA!H$2:H$5000)</f>
        <v>0</v>
      </c>
      <c r="P5" s="11" t="n">
        <f aca="false">P4+E5+F5</f>
        <v>160284</v>
      </c>
    </row>
    <row r="6" customFormat="false" ht="15" hidden="false" customHeight="true" outlineLevel="0" collapsed="false">
      <c r="A6" s="13" t="n">
        <v>2023</v>
      </c>
      <c r="B6" s="13" t="s">
        <v>85</v>
      </c>
      <c r="C6" s="14" t="n">
        <f aca="false">SUMPRODUCT((RAW_DATA!B$2:B$5000=B6)*(RAW_DATA!C$2:C$5000=A6)*(RAW_DATA!D$2:D$5000="Income")*RAW_DATA!H$2:H$5000)</f>
        <v>65000</v>
      </c>
      <c r="D6" s="14" t="n">
        <f aca="false">SUMPRODUCT((RAW_DATA!B$2:B$5000=B6)*(RAW_DATA!C$2:C$5000=A6)*(RAW_DATA!D$2:D$5000="Expense")*RAW_DATA!H$2:H$5000)</f>
        <v>11080</v>
      </c>
      <c r="E6" s="14" t="n">
        <f aca="false">SUMPRODUCT((RAW_DATA!B$2:B$5000=B6)*(RAW_DATA!C$2:C$5000=A6)*(RAW_DATA!D$2:D$5000="Savings")*RAW_DATA!H$2:H$5000)</f>
        <v>10000</v>
      </c>
      <c r="F6" s="14" t="n">
        <f aca="false">C6-D6-E6</f>
        <v>43920</v>
      </c>
      <c r="G6" s="15" t="n">
        <f aca="false">IF(C6&gt;0,(E6+F6)/C6,0)</f>
        <v>0.829538461538462</v>
      </c>
      <c r="H6" s="14" t="n">
        <f aca="false">SUMPRODUCT((RAW_DATA!B$2:B$5000=B6)*(RAW_DATA!C$2:C$5000=A6)*(RAW_DATA!E$2:E$5000="Housing")*RAW_DATA!H$2:H$5000)</f>
        <v>0</v>
      </c>
      <c r="I6" s="14" t="n">
        <f aca="false">SUMPRODUCT((RAW_DATA!B$2:B$5000=B6)*(RAW_DATA!C$2:C$5000=A6)*(RAW_DATA!E$2:E$5000="Food")*RAW_DATA!H$2:H$5000)</f>
        <v>2970</v>
      </c>
      <c r="J6" s="14" t="n">
        <f aca="false">SUMPRODUCT((RAW_DATA!B$2:B$5000=B6)*(RAW_DATA!C$2:C$5000=A6)*(RAW_DATA!E$2:E$5000="Transport")*RAW_DATA!H$2:H$5000)</f>
        <v>1192</v>
      </c>
      <c r="K6" s="14" t="n">
        <f aca="false">SUMPRODUCT((RAW_DATA!B$2:B$5000=B6)*(RAW_DATA!C$2:C$5000=A6)*(RAW_DATA!E$2:E$5000="Health")*RAW_DATA!H$2:H$5000)</f>
        <v>0</v>
      </c>
      <c r="L6" s="14" t="n">
        <f aca="false">SUMPRODUCT((RAW_DATA!B$2:B$5000=B6)*(RAW_DATA!C$2:C$5000=A6)*(RAW_DATA!E$2:E$5000="Shopping")*RAW_DATA!H$2:H$5000)</f>
        <v>3254</v>
      </c>
      <c r="M6" s="14" t="n">
        <f aca="false">SUMPRODUCT((RAW_DATA!B$2:B$5000=B6)*(RAW_DATA!C$2:C$5000=A6)*(RAW_DATA!E$2:E$5000="Entertainment")*RAW_DATA!H$2:H$5000)</f>
        <v>1061</v>
      </c>
      <c r="N6" s="14" t="n">
        <f aca="false">SUMPRODUCT((RAW_DATA!B$2:B$5000=B6)*(RAW_DATA!C$2:C$5000=A6)*(RAW_DATA!E$2:E$5000="Education")*RAW_DATA!H$2:H$5000)</f>
        <v>1513</v>
      </c>
      <c r="O6" s="14" t="n">
        <f aca="false">SUMPRODUCT((RAW_DATA!B$2:B$5000=B6)*(RAW_DATA!C$2:C$5000=A6)*(RAW_DATA!E$2:E$5000="Others")*RAW_DATA!H$2:H$5000)</f>
        <v>1090</v>
      </c>
      <c r="P6" s="14" t="n">
        <f aca="false">P5+E6+F6</f>
        <v>214204</v>
      </c>
    </row>
    <row r="7" customFormat="false" ht="15" hidden="false" customHeight="true" outlineLevel="0" collapsed="false">
      <c r="A7" s="7" t="n">
        <v>2023</v>
      </c>
      <c r="B7" s="7" t="s">
        <v>105</v>
      </c>
      <c r="C7" s="11" t="n">
        <f aca="false">SUMPRODUCT((RAW_DATA!B$2:B$5000=B7)*(RAW_DATA!C$2:C$5000=A7)*(RAW_DATA!D$2:D$5000="Income")*RAW_DATA!H$2:H$5000)</f>
        <v>65000</v>
      </c>
      <c r="D7" s="11" t="n">
        <f aca="false">SUMPRODUCT((RAW_DATA!B$2:B$5000=B7)*(RAW_DATA!C$2:C$5000=A7)*(RAW_DATA!D$2:D$5000="Expense")*RAW_DATA!H$2:H$5000)</f>
        <v>20809</v>
      </c>
      <c r="E7" s="11" t="n">
        <f aca="false">SUMPRODUCT((RAW_DATA!B$2:B$5000=B7)*(RAW_DATA!C$2:C$5000=A7)*(RAW_DATA!D$2:D$5000="Savings")*RAW_DATA!H$2:H$5000)</f>
        <v>10000</v>
      </c>
      <c r="F7" s="11" t="n">
        <f aca="false">C7-D7-E7</f>
        <v>34191</v>
      </c>
      <c r="G7" s="12" t="n">
        <f aca="false">IF(C7&gt;0,(E7+F7)/C7,0)</f>
        <v>0.679861538461538</v>
      </c>
      <c r="H7" s="11" t="n">
        <f aca="false">SUMPRODUCT((RAW_DATA!B$2:B$5000=B7)*(RAW_DATA!C$2:C$5000=A7)*(RAW_DATA!E$2:E$5000="Housing")*RAW_DATA!H$2:H$5000)</f>
        <v>10119</v>
      </c>
      <c r="I7" s="11" t="n">
        <f aca="false">SUMPRODUCT((RAW_DATA!B$2:B$5000=B7)*(RAW_DATA!C$2:C$5000=A7)*(RAW_DATA!E$2:E$5000="Food")*RAW_DATA!H$2:H$5000)</f>
        <v>4892</v>
      </c>
      <c r="J7" s="11" t="n">
        <f aca="false">SUMPRODUCT((RAW_DATA!B$2:B$5000=B7)*(RAW_DATA!C$2:C$5000=A7)*(RAW_DATA!E$2:E$5000="Transport")*RAW_DATA!H$2:H$5000)</f>
        <v>1128</v>
      </c>
      <c r="K7" s="11" t="n">
        <f aca="false">SUMPRODUCT((RAW_DATA!B$2:B$5000=B7)*(RAW_DATA!C$2:C$5000=A7)*(RAW_DATA!E$2:E$5000="Health")*RAW_DATA!H$2:H$5000)</f>
        <v>0</v>
      </c>
      <c r="L7" s="11" t="n">
        <f aca="false">SUMPRODUCT((RAW_DATA!B$2:B$5000=B7)*(RAW_DATA!C$2:C$5000=A7)*(RAW_DATA!E$2:E$5000="Shopping")*RAW_DATA!H$2:H$5000)</f>
        <v>0</v>
      </c>
      <c r="M7" s="11" t="n">
        <f aca="false">SUMPRODUCT((RAW_DATA!B$2:B$5000=B7)*(RAW_DATA!C$2:C$5000=A7)*(RAW_DATA!E$2:E$5000="Entertainment")*RAW_DATA!H$2:H$5000)</f>
        <v>1052</v>
      </c>
      <c r="N7" s="11" t="n">
        <f aca="false">SUMPRODUCT((RAW_DATA!B$2:B$5000=B7)*(RAW_DATA!C$2:C$5000=A7)*(RAW_DATA!E$2:E$5000="Education")*RAW_DATA!H$2:H$5000)</f>
        <v>2982</v>
      </c>
      <c r="O7" s="11" t="n">
        <f aca="false">SUMPRODUCT((RAW_DATA!B$2:B$5000=B7)*(RAW_DATA!C$2:C$5000=A7)*(RAW_DATA!E$2:E$5000="Others")*RAW_DATA!H$2:H$5000)</f>
        <v>636</v>
      </c>
      <c r="P7" s="11" t="n">
        <f aca="false">P6+E7+F7</f>
        <v>258395</v>
      </c>
    </row>
    <row r="8" customFormat="false" ht="15" hidden="false" customHeight="true" outlineLevel="0" collapsed="false">
      <c r="A8" s="13" t="n">
        <v>2023</v>
      </c>
      <c r="B8" s="13" t="s">
        <v>123</v>
      </c>
      <c r="C8" s="14" t="n">
        <f aca="false">SUMPRODUCT((RAW_DATA!B$2:B$5000=B8)*(RAW_DATA!C$2:C$5000=A8)*(RAW_DATA!D$2:D$5000="Income")*RAW_DATA!H$2:H$5000)</f>
        <v>65000</v>
      </c>
      <c r="D8" s="14" t="n">
        <f aca="false">SUMPRODUCT((RAW_DATA!B$2:B$5000=B8)*(RAW_DATA!C$2:C$5000=A8)*(RAW_DATA!D$2:D$5000="Expense")*RAW_DATA!H$2:H$5000)</f>
        <v>14890</v>
      </c>
      <c r="E8" s="14" t="n">
        <f aca="false">SUMPRODUCT((RAW_DATA!B$2:B$5000=B8)*(RAW_DATA!C$2:C$5000=A8)*(RAW_DATA!D$2:D$5000="Savings")*RAW_DATA!H$2:H$5000)</f>
        <v>15000</v>
      </c>
      <c r="F8" s="14" t="n">
        <f aca="false">C8-D8-E8</f>
        <v>35110</v>
      </c>
      <c r="G8" s="15" t="n">
        <f aca="false">IF(C8&gt;0,(E8+F8)/C8,0)</f>
        <v>0.770923076923077</v>
      </c>
      <c r="H8" s="14" t="n">
        <f aca="false">SUMPRODUCT((RAW_DATA!B$2:B$5000=B8)*(RAW_DATA!C$2:C$5000=A8)*(RAW_DATA!E$2:E$5000="Housing")*RAW_DATA!H$2:H$5000)</f>
        <v>6009</v>
      </c>
      <c r="I8" s="14" t="n">
        <f aca="false">SUMPRODUCT((RAW_DATA!B$2:B$5000=B8)*(RAW_DATA!C$2:C$5000=A8)*(RAW_DATA!E$2:E$5000="Food")*RAW_DATA!H$2:H$5000)</f>
        <v>3586</v>
      </c>
      <c r="J8" s="14" t="n">
        <f aca="false">SUMPRODUCT((RAW_DATA!B$2:B$5000=B8)*(RAW_DATA!C$2:C$5000=A8)*(RAW_DATA!E$2:E$5000="Transport")*RAW_DATA!H$2:H$5000)</f>
        <v>0</v>
      </c>
      <c r="K8" s="14" t="n">
        <f aca="false">SUMPRODUCT((RAW_DATA!B$2:B$5000=B8)*(RAW_DATA!C$2:C$5000=A8)*(RAW_DATA!E$2:E$5000="Health")*RAW_DATA!H$2:H$5000)</f>
        <v>0</v>
      </c>
      <c r="L8" s="14" t="n">
        <f aca="false">SUMPRODUCT((RAW_DATA!B$2:B$5000=B8)*(RAW_DATA!C$2:C$5000=A8)*(RAW_DATA!E$2:E$5000="Shopping")*RAW_DATA!H$2:H$5000)</f>
        <v>1850</v>
      </c>
      <c r="M8" s="14" t="n">
        <f aca="false">SUMPRODUCT((RAW_DATA!B$2:B$5000=B8)*(RAW_DATA!C$2:C$5000=A8)*(RAW_DATA!E$2:E$5000="Entertainment")*RAW_DATA!H$2:H$5000)</f>
        <v>671</v>
      </c>
      <c r="N8" s="14" t="n">
        <f aca="false">SUMPRODUCT((RAW_DATA!B$2:B$5000=B8)*(RAW_DATA!C$2:C$5000=A8)*(RAW_DATA!E$2:E$5000="Education")*RAW_DATA!H$2:H$5000)</f>
        <v>1742</v>
      </c>
      <c r="O8" s="14" t="n">
        <f aca="false">SUMPRODUCT((RAW_DATA!B$2:B$5000=B8)*(RAW_DATA!C$2:C$5000=A8)*(RAW_DATA!E$2:E$5000="Others")*RAW_DATA!H$2:H$5000)</f>
        <v>1032</v>
      </c>
      <c r="P8" s="14" t="n">
        <f aca="false">P7+E8+F8</f>
        <v>308505</v>
      </c>
    </row>
    <row r="9" customFormat="false" ht="15" hidden="false" customHeight="true" outlineLevel="0" collapsed="false">
      <c r="A9" s="7" t="n">
        <v>2023</v>
      </c>
      <c r="B9" s="7" t="s">
        <v>139</v>
      </c>
      <c r="C9" s="11" t="n">
        <f aca="false">SUMPRODUCT((RAW_DATA!B$2:B$5000=B9)*(RAW_DATA!C$2:C$5000=A9)*(RAW_DATA!D$2:D$5000="Income")*RAW_DATA!H$2:H$5000)</f>
        <v>76537</v>
      </c>
      <c r="D9" s="11" t="n">
        <f aca="false">SUMPRODUCT((RAW_DATA!B$2:B$5000=B9)*(RAW_DATA!C$2:C$5000=A9)*(RAW_DATA!D$2:D$5000="Expense")*RAW_DATA!H$2:H$5000)</f>
        <v>19637</v>
      </c>
      <c r="E9" s="11" t="n">
        <f aca="false">SUMPRODUCT((RAW_DATA!B$2:B$5000=B9)*(RAW_DATA!C$2:C$5000=A9)*(RAW_DATA!D$2:D$5000="Savings")*RAW_DATA!H$2:H$5000)</f>
        <v>10000</v>
      </c>
      <c r="F9" s="11" t="n">
        <f aca="false">C9-D9-E9</f>
        <v>46900</v>
      </c>
      <c r="G9" s="12" t="n">
        <f aca="false">IF(C9&gt;0,(E9+F9)/C9,0)</f>
        <v>0.743431281602362</v>
      </c>
      <c r="H9" s="11" t="n">
        <f aca="false">SUMPRODUCT((RAW_DATA!B$2:B$5000=B9)*(RAW_DATA!C$2:C$5000=A9)*(RAW_DATA!E$2:E$5000="Housing")*RAW_DATA!H$2:H$5000)</f>
        <v>13177</v>
      </c>
      <c r="I9" s="11" t="n">
        <f aca="false">SUMPRODUCT((RAW_DATA!B$2:B$5000=B9)*(RAW_DATA!C$2:C$5000=A9)*(RAW_DATA!E$2:E$5000="Food")*RAW_DATA!H$2:H$5000)</f>
        <v>0</v>
      </c>
      <c r="J9" s="11" t="n">
        <f aca="false">SUMPRODUCT((RAW_DATA!B$2:B$5000=B9)*(RAW_DATA!C$2:C$5000=A9)*(RAW_DATA!E$2:E$5000="Transport")*RAW_DATA!H$2:H$5000)</f>
        <v>0</v>
      </c>
      <c r="K9" s="11" t="n">
        <f aca="false">SUMPRODUCT((RAW_DATA!B$2:B$5000=B9)*(RAW_DATA!C$2:C$5000=A9)*(RAW_DATA!E$2:E$5000="Health")*RAW_DATA!H$2:H$5000)</f>
        <v>0</v>
      </c>
      <c r="L9" s="11" t="n">
        <f aca="false">SUMPRODUCT((RAW_DATA!B$2:B$5000=B9)*(RAW_DATA!C$2:C$5000=A9)*(RAW_DATA!E$2:E$5000="Shopping")*RAW_DATA!H$2:H$5000)</f>
        <v>2402</v>
      </c>
      <c r="M9" s="11" t="n">
        <f aca="false">SUMPRODUCT((RAW_DATA!B$2:B$5000=B9)*(RAW_DATA!C$2:C$5000=A9)*(RAW_DATA!E$2:E$5000="Entertainment")*RAW_DATA!H$2:H$5000)</f>
        <v>774</v>
      </c>
      <c r="N9" s="11" t="n">
        <f aca="false">SUMPRODUCT((RAW_DATA!B$2:B$5000=B9)*(RAW_DATA!C$2:C$5000=A9)*(RAW_DATA!E$2:E$5000="Education")*RAW_DATA!H$2:H$5000)</f>
        <v>2252</v>
      </c>
      <c r="O9" s="11" t="n">
        <f aca="false">SUMPRODUCT((RAW_DATA!B$2:B$5000=B9)*(RAW_DATA!C$2:C$5000=A9)*(RAW_DATA!E$2:E$5000="Others")*RAW_DATA!H$2:H$5000)</f>
        <v>1032</v>
      </c>
      <c r="P9" s="11" t="n">
        <f aca="false">P8+E9+F9</f>
        <v>365405</v>
      </c>
    </row>
    <row r="10" customFormat="false" ht="15" hidden="false" customHeight="true" outlineLevel="0" collapsed="false">
      <c r="A10" s="13" t="n">
        <v>2023</v>
      </c>
      <c r="B10" s="13" t="s">
        <v>155</v>
      </c>
      <c r="C10" s="14" t="n">
        <f aca="false">SUMPRODUCT((RAW_DATA!B$2:B$5000=B10)*(RAW_DATA!C$2:C$5000=A10)*(RAW_DATA!D$2:D$5000="Income")*RAW_DATA!H$2:H$5000)</f>
        <v>73981</v>
      </c>
      <c r="D10" s="14" t="n">
        <f aca="false">SUMPRODUCT((RAW_DATA!B$2:B$5000=B10)*(RAW_DATA!C$2:C$5000=A10)*(RAW_DATA!D$2:D$5000="Expense")*RAW_DATA!H$2:H$5000)</f>
        <v>20788</v>
      </c>
      <c r="E10" s="14" t="n">
        <f aca="false">SUMPRODUCT((RAW_DATA!B$2:B$5000=B10)*(RAW_DATA!C$2:C$5000=A10)*(RAW_DATA!D$2:D$5000="Savings")*RAW_DATA!H$2:H$5000)</f>
        <v>10000</v>
      </c>
      <c r="F10" s="14" t="n">
        <f aca="false">C10-D10-E10</f>
        <v>43193</v>
      </c>
      <c r="G10" s="15" t="n">
        <f aca="false">IF(C10&gt;0,(E10+F10)/C10,0)</f>
        <v>0.719008934726484</v>
      </c>
      <c r="H10" s="14" t="n">
        <f aca="false">SUMPRODUCT((RAW_DATA!B$2:B$5000=B10)*(RAW_DATA!C$2:C$5000=A10)*(RAW_DATA!E$2:E$5000="Housing")*RAW_DATA!H$2:H$5000)</f>
        <v>9119</v>
      </c>
      <c r="I10" s="14" t="n">
        <f aca="false">SUMPRODUCT((RAW_DATA!B$2:B$5000=B10)*(RAW_DATA!C$2:C$5000=A10)*(RAW_DATA!E$2:E$5000="Food")*RAW_DATA!H$2:H$5000)</f>
        <v>3834</v>
      </c>
      <c r="J10" s="14" t="n">
        <f aca="false">SUMPRODUCT((RAW_DATA!B$2:B$5000=B10)*(RAW_DATA!C$2:C$5000=A10)*(RAW_DATA!E$2:E$5000="Transport")*RAW_DATA!H$2:H$5000)</f>
        <v>2238</v>
      </c>
      <c r="K10" s="14" t="n">
        <f aca="false">SUMPRODUCT((RAW_DATA!B$2:B$5000=B10)*(RAW_DATA!C$2:C$5000=A10)*(RAW_DATA!E$2:E$5000="Health")*RAW_DATA!H$2:H$5000)</f>
        <v>0</v>
      </c>
      <c r="L10" s="14" t="n">
        <f aca="false">SUMPRODUCT((RAW_DATA!B$2:B$5000=B10)*(RAW_DATA!C$2:C$5000=A10)*(RAW_DATA!E$2:E$5000="Shopping")*RAW_DATA!H$2:H$5000)</f>
        <v>2518</v>
      </c>
      <c r="M10" s="14" t="n">
        <f aca="false">SUMPRODUCT((RAW_DATA!B$2:B$5000=B10)*(RAW_DATA!C$2:C$5000=A10)*(RAW_DATA!E$2:E$5000="Entertainment")*RAW_DATA!H$2:H$5000)</f>
        <v>972</v>
      </c>
      <c r="N10" s="14" t="n">
        <f aca="false">SUMPRODUCT((RAW_DATA!B$2:B$5000=B10)*(RAW_DATA!C$2:C$5000=A10)*(RAW_DATA!E$2:E$5000="Education")*RAW_DATA!H$2:H$5000)</f>
        <v>2107</v>
      </c>
      <c r="O10" s="14" t="n">
        <f aca="false">SUMPRODUCT((RAW_DATA!B$2:B$5000=B10)*(RAW_DATA!C$2:C$5000=A10)*(RAW_DATA!E$2:E$5000="Others")*RAW_DATA!H$2:H$5000)</f>
        <v>0</v>
      </c>
      <c r="P10" s="14" t="n">
        <f aca="false">P9+E10+F10</f>
        <v>418598</v>
      </c>
    </row>
    <row r="11" customFormat="false" ht="15" hidden="false" customHeight="true" outlineLevel="0" collapsed="false">
      <c r="A11" s="7" t="n">
        <v>2023</v>
      </c>
      <c r="B11" s="7" t="s">
        <v>170</v>
      </c>
      <c r="C11" s="11" t="n">
        <f aca="false">SUMPRODUCT((RAW_DATA!B$2:B$5000=B11)*(RAW_DATA!C$2:C$5000=A11)*(RAW_DATA!D$2:D$5000="Income")*RAW_DATA!H$2:H$5000)</f>
        <v>90384</v>
      </c>
      <c r="D11" s="11" t="n">
        <f aca="false">SUMPRODUCT((RAW_DATA!B$2:B$5000=B11)*(RAW_DATA!C$2:C$5000=A11)*(RAW_DATA!D$2:D$5000="Expense")*RAW_DATA!H$2:H$5000)</f>
        <v>15303</v>
      </c>
      <c r="E11" s="11" t="n">
        <f aca="false">SUMPRODUCT((RAW_DATA!B$2:B$5000=B11)*(RAW_DATA!C$2:C$5000=A11)*(RAW_DATA!D$2:D$5000="Savings")*RAW_DATA!H$2:H$5000)</f>
        <v>15000</v>
      </c>
      <c r="F11" s="11" t="n">
        <f aca="false">C11-D11-E11</f>
        <v>60081</v>
      </c>
      <c r="G11" s="12" t="n">
        <f aca="false">IF(C11&gt;0,(E11+F11)/C11,0)</f>
        <v>0.830689060010621</v>
      </c>
      <c r="H11" s="11" t="n">
        <f aca="false">SUMPRODUCT((RAW_DATA!B$2:B$5000=B11)*(RAW_DATA!C$2:C$5000=A11)*(RAW_DATA!E$2:E$5000="Housing")*RAW_DATA!H$2:H$5000)</f>
        <v>8724</v>
      </c>
      <c r="I11" s="11" t="n">
        <f aca="false">SUMPRODUCT((RAW_DATA!B$2:B$5000=B11)*(RAW_DATA!C$2:C$5000=A11)*(RAW_DATA!E$2:E$5000="Food")*RAW_DATA!H$2:H$5000)</f>
        <v>2340</v>
      </c>
      <c r="J11" s="11" t="n">
        <f aca="false">SUMPRODUCT((RAW_DATA!B$2:B$5000=B11)*(RAW_DATA!C$2:C$5000=A11)*(RAW_DATA!E$2:E$5000="Transport")*RAW_DATA!H$2:H$5000)</f>
        <v>0</v>
      </c>
      <c r="K11" s="11" t="n">
        <f aca="false">SUMPRODUCT((RAW_DATA!B$2:B$5000=B11)*(RAW_DATA!C$2:C$5000=A11)*(RAW_DATA!E$2:E$5000="Health")*RAW_DATA!H$2:H$5000)</f>
        <v>1304</v>
      </c>
      <c r="L11" s="11" t="n">
        <f aca="false">SUMPRODUCT((RAW_DATA!B$2:B$5000=B11)*(RAW_DATA!C$2:C$5000=A11)*(RAW_DATA!E$2:E$5000="Shopping")*RAW_DATA!H$2:H$5000)</f>
        <v>2134</v>
      </c>
      <c r="M11" s="11" t="n">
        <f aca="false">SUMPRODUCT((RAW_DATA!B$2:B$5000=B11)*(RAW_DATA!C$2:C$5000=A11)*(RAW_DATA!E$2:E$5000="Entertainment")*RAW_DATA!H$2:H$5000)</f>
        <v>0</v>
      </c>
      <c r="N11" s="11" t="n">
        <f aca="false">SUMPRODUCT((RAW_DATA!B$2:B$5000=B11)*(RAW_DATA!C$2:C$5000=A11)*(RAW_DATA!E$2:E$5000="Education")*RAW_DATA!H$2:H$5000)</f>
        <v>0</v>
      </c>
      <c r="O11" s="11" t="n">
        <f aca="false">SUMPRODUCT((RAW_DATA!B$2:B$5000=B11)*(RAW_DATA!C$2:C$5000=A11)*(RAW_DATA!E$2:E$5000="Others")*RAW_DATA!H$2:H$5000)</f>
        <v>801</v>
      </c>
      <c r="P11" s="11" t="n">
        <f aca="false">P10+E11+F11</f>
        <v>493679</v>
      </c>
    </row>
    <row r="12" customFormat="false" ht="15" hidden="false" customHeight="true" outlineLevel="0" collapsed="false">
      <c r="A12" s="13" t="n">
        <v>2023</v>
      </c>
      <c r="B12" s="13" t="s">
        <v>188</v>
      </c>
      <c r="C12" s="14" t="n">
        <f aca="false">SUMPRODUCT((RAW_DATA!B$2:B$5000=B12)*(RAW_DATA!C$2:C$5000=A12)*(RAW_DATA!D$2:D$5000="Income")*RAW_DATA!H$2:H$5000)</f>
        <v>78238</v>
      </c>
      <c r="D12" s="14" t="n">
        <f aca="false">SUMPRODUCT((RAW_DATA!B$2:B$5000=B12)*(RAW_DATA!C$2:C$5000=A12)*(RAW_DATA!D$2:D$5000="Expense")*RAW_DATA!H$2:H$5000)</f>
        <v>12828</v>
      </c>
      <c r="E12" s="14" t="n">
        <f aca="false">SUMPRODUCT((RAW_DATA!B$2:B$5000=B12)*(RAW_DATA!C$2:C$5000=A12)*(RAW_DATA!D$2:D$5000="Savings")*RAW_DATA!H$2:H$5000)</f>
        <v>10000</v>
      </c>
      <c r="F12" s="14" t="n">
        <f aca="false">C12-D12-E12</f>
        <v>55410</v>
      </c>
      <c r="G12" s="15" t="n">
        <f aca="false">IF(C12&gt;0,(E12+F12)/C12,0)</f>
        <v>0.83603875354687</v>
      </c>
      <c r="H12" s="14" t="n">
        <f aca="false">SUMPRODUCT((RAW_DATA!B$2:B$5000=B12)*(RAW_DATA!C$2:C$5000=A12)*(RAW_DATA!E$2:E$5000="Housing")*RAW_DATA!H$2:H$5000)</f>
        <v>8579</v>
      </c>
      <c r="I12" s="14" t="n">
        <f aca="false">SUMPRODUCT((RAW_DATA!B$2:B$5000=B12)*(RAW_DATA!C$2:C$5000=A12)*(RAW_DATA!E$2:E$5000="Food")*RAW_DATA!H$2:H$5000)</f>
        <v>0</v>
      </c>
      <c r="J12" s="14" t="n">
        <f aca="false">SUMPRODUCT((RAW_DATA!B$2:B$5000=B12)*(RAW_DATA!C$2:C$5000=A12)*(RAW_DATA!E$2:E$5000="Transport")*RAW_DATA!H$2:H$5000)</f>
        <v>0</v>
      </c>
      <c r="K12" s="14" t="n">
        <f aca="false">SUMPRODUCT((RAW_DATA!B$2:B$5000=B12)*(RAW_DATA!C$2:C$5000=A12)*(RAW_DATA!E$2:E$5000="Health")*RAW_DATA!H$2:H$5000)</f>
        <v>1546</v>
      </c>
      <c r="L12" s="14" t="n">
        <f aca="false">SUMPRODUCT((RAW_DATA!B$2:B$5000=B12)*(RAW_DATA!C$2:C$5000=A12)*(RAW_DATA!E$2:E$5000="Shopping")*RAW_DATA!H$2:H$5000)</f>
        <v>0</v>
      </c>
      <c r="M12" s="14" t="n">
        <f aca="false">SUMPRODUCT((RAW_DATA!B$2:B$5000=B12)*(RAW_DATA!C$2:C$5000=A12)*(RAW_DATA!E$2:E$5000="Entertainment")*RAW_DATA!H$2:H$5000)</f>
        <v>969</v>
      </c>
      <c r="N12" s="14" t="n">
        <f aca="false">SUMPRODUCT((RAW_DATA!B$2:B$5000=B12)*(RAW_DATA!C$2:C$5000=A12)*(RAW_DATA!E$2:E$5000="Education")*RAW_DATA!H$2:H$5000)</f>
        <v>1734</v>
      </c>
      <c r="O12" s="14" t="n">
        <f aca="false">SUMPRODUCT((RAW_DATA!B$2:B$5000=B12)*(RAW_DATA!C$2:C$5000=A12)*(RAW_DATA!E$2:E$5000="Others")*RAW_DATA!H$2:H$5000)</f>
        <v>0</v>
      </c>
      <c r="P12" s="14" t="n">
        <f aca="false">P11+E12+F12</f>
        <v>559089</v>
      </c>
    </row>
    <row r="13" customFormat="false" ht="15" hidden="false" customHeight="true" outlineLevel="0" collapsed="false">
      <c r="A13" s="7" t="n">
        <v>2023</v>
      </c>
      <c r="B13" s="7" t="s">
        <v>202</v>
      </c>
      <c r="C13" s="11" t="n">
        <f aca="false">SUMPRODUCT((RAW_DATA!B$2:B$5000=B13)*(RAW_DATA!C$2:C$5000=A13)*(RAW_DATA!D$2:D$5000="Income")*RAW_DATA!H$2:H$5000)</f>
        <v>65000</v>
      </c>
      <c r="D13" s="11" t="n">
        <f aca="false">SUMPRODUCT((RAW_DATA!B$2:B$5000=B13)*(RAW_DATA!C$2:C$5000=A13)*(RAW_DATA!D$2:D$5000="Expense")*RAW_DATA!H$2:H$5000)</f>
        <v>21242</v>
      </c>
      <c r="E13" s="11" t="n">
        <f aca="false">SUMPRODUCT((RAW_DATA!B$2:B$5000=B13)*(RAW_DATA!C$2:C$5000=A13)*(RAW_DATA!D$2:D$5000="Savings")*RAW_DATA!H$2:H$5000)</f>
        <v>10000</v>
      </c>
      <c r="F13" s="11" t="n">
        <f aca="false">C13-D13-E13</f>
        <v>33758</v>
      </c>
      <c r="G13" s="12" t="n">
        <f aca="false">IF(C13&gt;0,(E13+F13)/C13,0)</f>
        <v>0.6732</v>
      </c>
      <c r="H13" s="11" t="n">
        <f aca="false">SUMPRODUCT((RAW_DATA!B$2:B$5000=B13)*(RAW_DATA!C$2:C$5000=A13)*(RAW_DATA!E$2:E$5000="Housing")*RAW_DATA!H$2:H$5000)</f>
        <v>13491</v>
      </c>
      <c r="I13" s="11" t="n">
        <f aca="false">SUMPRODUCT((RAW_DATA!B$2:B$5000=B13)*(RAW_DATA!C$2:C$5000=A13)*(RAW_DATA!E$2:E$5000="Food")*RAW_DATA!H$2:H$5000)</f>
        <v>0</v>
      </c>
      <c r="J13" s="11" t="n">
        <f aca="false">SUMPRODUCT((RAW_DATA!B$2:B$5000=B13)*(RAW_DATA!C$2:C$5000=A13)*(RAW_DATA!E$2:E$5000="Transport")*RAW_DATA!H$2:H$5000)</f>
        <v>1050</v>
      </c>
      <c r="K13" s="11" t="n">
        <f aca="false">SUMPRODUCT((RAW_DATA!B$2:B$5000=B13)*(RAW_DATA!C$2:C$5000=A13)*(RAW_DATA!E$2:E$5000="Health")*RAW_DATA!H$2:H$5000)</f>
        <v>1434</v>
      </c>
      <c r="L13" s="11" t="n">
        <f aca="false">SUMPRODUCT((RAW_DATA!B$2:B$5000=B13)*(RAW_DATA!C$2:C$5000=A13)*(RAW_DATA!E$2:E$5000="Shopping")*RAW_DATA!H$2:H$5000)</f>
        <v>3294</v>
      </c>
      <c r="M13" s="11" t="n">
        <f aca="false">SUMPRODUCT((RAW_DATA!B$2:B$5000=B13)*(RAW_DATA!C$2:C$5000=A13)*(RAW_DATA!E$2:E$5000="Entertainment")*RAW_DATA!H$2:H$5000)</f>
        <v>1223</v>
      </c>
      <c r="N13" s="11" t="n">
        <f aca="false">SUMPRODUCT((RAW_DATA!B$2:B$5000=B13)*(RAW_DATA!C$2:C$5000=A13)*(RAW_DATA!E$2:E$5000="Education")*RAW_DATA!H$2:H$5000)</f>
        <v>0</v>
      </c>
      <c r="O13" s="11" t="n">
        <f aca="false">SUMPRODUCT((RAW_DATA!B$2:B$5000=B13)*(RAW_DATA!C$2:C$5000=A13)*(RAW_DATA!E$2:E$5000="Others")*RAW_DATA!H$2:H$5000)</f>
        <v>750</v>
      </c>
      <c r="P13" s="11" t="n">
        <f aca="false">P12+E13+F13</f>
        <v>602847</v>
      </c>
    </row>
    <row r="14" customFormat="false" ht="15" hidden="false" customHeight="true" outlineLevel="0" collapsed="false">
      <c r="A14" s="13" t="n">
        <v>2023</v>
      </c>
      <c r="B14" s="13" t="s">
        <v>216</v>
      </c>
      <c r="C14" s="14" t="n">
        <f aca="false">SUMPRODUCT((RAW_DATA!B$2:B$5000=B14)*(RAW_DATA!C$2:C$5000=A14)*(RAW_DATA!D$2:D$5000="Income")*RAW_DATA!H$2:H$5000)</f>
        <v>72546</v>
      </c>
      <c r="D14" s="14" t="n">
        <f aca="false">SUMPRODUCT((RAW_DATA!B$2:B$5000=B14)*(RAW_DATA!C$2:C$5000=A14)*(RAW_DATA!D$2:D$5000="Expense")*RAW_DATA!H$2:H$5000)</f>
        <v>8977</v>
      </c>
      <c r="E14" s="14" t="n">
        <f aca="false">SUMPRODUCT((RAW_DATA!B$2:B$5000=B14)*(RAW_DATA!C$2:C$5000=A14)*(RAW_DATA!D$2:D$5000="Savings")*RAW_DATA!H$2:H$5000)</f>
        <v>15000</v>
      </c>
      <c r="F14" s="14" t="n">
        <f aca="false">C14-D14-E14</f>
        <v>48569</v>
      </c>
      <c r="G14" s="15" t="n">
        <f aca="false">IF(C14&gt;0,(E14+F14)/C14,0)</f>
        <v>0.876257822622888</v>
      </c>
      <c r="H14" s="14" t="n">
        <f aca="false">SUMPRODUCT((RAW_DATA!B$2:B$5000=B14)*(RAW_DATA!C$2:C$5000=A14)*(RAW_DATA!E$2:E$5000="Housing")*RAW_DATA!H$2:H$5000)</f>
        <v>0</v>
      </c>
      <c r="I14" s="14" t="n">
        <f aca="false">SUMPRODUCT((RAW_DATA!B$2:B$5000=B14)*(RAW_DATA!C$2:C$5000=A14)*(RAW_DATA!E$2:E$5000="Food")*RAW_DATA!H$2:H$5000)</f>
        <v>2933</v>
      </c>
      <c r="J14" s="14" t="n">
        <f aca="false">SUMPRODUCT((RAW_DATA!B$2:B$5000=B14)*(RAW_DATA!C$2:C$5000=A14)*(RAW_DATA!E$2:E$5000="Transport")*RAW_DATA!H$2:H$5000)</f>
        <v>1004</v>
      </c>
      <c r="K14" s="14" t="n">
        <f aca="false">SUMPRODUCT((RAW_DATA!B$2:B$5000=B14)*(RAW_DATA!C$2:C$5000=A14)*(RAW_DATA!E$2:E$5000="Health")*RAW_DATA!H$2:H$5000)</f>
        <v>727</v>
      </c>
      <c r="L14" s="14" t="n">
        <f aca="false">SUMPRODUCT((RAW_DATA!B$2:B$5000=B14)*(RAW_DATA!C$2:C$5000=A14)*(RAW_DATA!E$2:E$5000="Shopping")*RAW_DATA!H$2:H$5000)</f>
        <v>2161</v>
      </c>
      <c r="M14" s="14" t="n">
        <f aca="false">SUMPRODUCT((RAW_DATA!B$2:B$5000=B14)*(RAW_DATA!C$2:C$5000=A14)*(RAW_DATA!E$2:E$5000="Entertainment")*RAW_DATA!H$2:H$5000)</f>
        <v>1114</v>
      </c>
      <c r="N14" s="14" t="n">
        <f aca="false">SUMPRODUCT((RAW_DATA!B$2:B$5000=B14)*(RAW_DATA!C$2:C$5000=A14)*(RAW_DATA!E$2:E$5000="Education")*RAW_DATA!H$2:H$5000)</f>
        <v>0</v>
      </c>
      <c r="O14" s="14" t="n">
        <f aca="false">SUMPRODUCT((RAW_DATA!B$2:B$5000=B14)*(RAW_DATA!C$2:C$5000=A14)*(RAW_DATA!E$2:E$5000="Others")*RAW_DATA!H$2:H$5000)</f>
        <v>1038</v>
      </c>
      <c r="P14" s="14" t="n">
        <f aca="false">P13+E14+F14</f>
        <v>666416</v>
      </c>
    </row>
    <row r="15" customFormat="false" ht="15" hidden="false" customHeight="true" outlineLevel="0" collapsed="false">
      <c r="A15" s="7" t="n">
        <v>2024</v>
      </c>
      <c r="B15" s="7" t="s">
        <v>11</v>
      </c>
      <c r="C15" s="11" t="n">
        <f aca="false">SUMPRODUCT((RAW_DATA!B$2:B$5000=B15)*(RAW_DATA!C$2:C$5000=A15)*(RAW_DATA!D$2:D$5000="Income")*RAW_DATA!H$2:H$5000)</f>
        <v>72426</v>
      </c>
      <c r="D15" s="11" t="n">
        <f aca="false">SUMPRODUCT((RAW_DATA!B$2:B$5000=B15)*(RAW_DATA!C$2:C$5000=A15)*(RAW_DATA!D$2:D$5000="Expense")*RAW_DATA!H$2:H$5000)</f>
        <v>23496</v>
      </c>
      <c r="E15" s="11" t="n">
        <f aca="false">SUMPRODUCT((RAW_DATA!B$2:B$5000=B15)*(RAW_DATA!C$2:C$5000=A15)*(RAW_DATA!D$2:D$5000="Savings")*RAW_DATA!H$2:H$5000)</f>
        <v>10000</v>
      </c>
      <c r="F15" s="11" t="n">
        <f aca="false">C15-D15-E15</f>
        <v>38930</v>
      </c>
      <c r="G15" s="12" t="n">
        <f aca="false">IF(C15&gt;0,(E15+F15)/C15,0)</f>
        <v>0.67558611548339</v>
      </c>
      <c r="H15" s="11" t="n">
        <f aca="false">SUMPRODUCT((RAW_DATA!B$2:B$5000=B15)*(RAW_DATA!C$2:C$5000=A15)*(RAW_DATA!E$2:E$5000="Housing")*RAW_DATA!H$2:H$5000)</f>
        <v>11050</v>
      </c>
      <c r="I15" s="11" t="n">
        <f aca="false">SUMPRODUCT((RAW_DATA!B$2:B$5000=B15)*(RAW_DATA!C$2:C$5000=A15)*(RAW_DATA!E$2:E$5000="Food")*RAW_DATA!H$2:H$5000)</f>
        <v>4893</v>
      </c>
      <c r="J15" s="11" t="n">
        <f aca="false">SUMPRODUCT((RAW_DATA!B$2:B$5000=B15)*(RAW_DATA!C$2:C$5000=A15)*(RAW_DATA!E$2:E$5000="Transport")*RAW_DATA!H$2:H$5000)</f>
        <v>2171</v>
      </c>
      <c r="K15" s="11" t="n">
        <f aca="false">SUMPRODUCT((RAW_DATA!B$2:B$5000=B15)*(RAW_DATA!C$2:C$5000=A15)*(RAW_DATA!E$2:E$5000="Health")*RAW_DATA!H$2:H$5000)</f>
        <v>1052</v>
      </c>
      <c r="L15" s="11" t="n">
        <f aca="false">SUMPRODUCT((RAW_DATA!B$2:B$5000=B15)*(RAW_DATA!C$2:C$5000=A15)*(RAW_DATA!E$2:E$5000="Shopping")*RAW_DATA!H$2:H$5000)</f>
        <v>2234</v>
      </c>
      <c r="M15" s="11" t="n">
        <f aca="false">SUMPRODUCT((RAW_DATA!B$2:B$5000=B15)*(RAW_DATA!C$2:C$5000=A15)*(RAW_DATA!E$2:E$5000="Entertainment")*RAW_DATA!H$2:H$5000)</f>
        <v>1225</v>
      </c>
      <c r="N15" s="11" t="n">
        <f aca="false">SUMPRODUCT((RAW_DATA!B$2:B$5000=B15)*(RAW_DATA!C$2:C$5000=A15)*(RAW_DATA!E$2:E$5000="Education")*RAW_DATA!H$2:H$5000)</f>
        <v>0</v>
      </c>
      <c r="O15" s="11" t="n">
        <f aca="false">SUMPRODUCT((RAW_DATA!B$2:B$5000=B15)*(RAW_DATA!C$2:C$5000=A15)*(RAW_DATA!E$2:E$5000="Others")*RAW_DATA!H$2:H$5000)</f>
        <v>871</v>
      </c>
      <c r="P15" s="11" t="n">
        <f aca="false">P14+E15+F15</f>
        <v>715346</v>
      </c>
    </row>
    <row r="16" customFormat="false" ht="15" hidden="false" customHeight="true" outlineLevel="0" collapsed="false">
      <c r="A16" s="13" t="n">
        <v>2024</v>
      </c>
      <c r="B16" s="13" t="s">
        <v>48</v>
      </c>
      <c r="C16" s="14" t="n">
        <f aca="false">SUMPRODUCT((RAW_DATA!B$2:B$5000=B16)*(RAW_DATA!C$2:C$5000=A16)*(RAW_DATA!D$2:D$5000="Income")*RAW_DATA!H$2:H$5000)</f>
        <v>65000</v>
      </c>
      <c r="D16" s="14" t="n">
        <f aca="false">SUMPRODUCT((RAW_DATA!B$2:B$5000=B16)*(RAW_DATA!C$2:C$5000=A16)*(RAW_DATA!D$2:D$5000="Expense")*RAW_DATA!H$2:H$5000)</f>
        <v>18556</v>
      </c>
      <c r="E16" s="14" t="n">
        <f aca="false">SUMPRODUCT((RAW_DATA!B$2:B$5000=B16)*(RAW_DATA!C$2:C$5000=A16)*(RAW_DATA!D$2:D$5000="Savings")*RAW_DATA!H$2:H$5000)</f>
        <v>10000</v>
      </c>
      <c r="F16" s="14" t="n">
        <f aca="false">C16-D16-E16</f>
        <v>36444</v>
      </c>
      <c r="G16" s="15" t="n">
        <f aca="false">IF(C16&gt;0,(E16+F16)/C16,0)</f>
        <v>0.714523076923077</v>
      </c>
      <c r="H16" s="14" t="n">
        <f aca="false">SUMPRODUCT((RAW_DATA!B$2:B$5000=B16)*(RAW_DATA!C$2:C$5000=A16)*(RAW_DATA!E$2:E$5000="Housing")*RAW_DATA!H$2:H$5000)</f>
        <v>11728</v>
      </c>
      <c r="I16" s="14" t="n">
        <f aca="false">SUMPRODUCT((RAW_DATA!B$2:B$5000=B16)*(RAW_DATA!C$2:C$5000=A16)*(RAW_DATA!E$2:E$5000="Food")*RAW_DATA!H$2:H$5000)</f>
        <v>0</v>
      </c>
      <c r="J16" s="14" t="n">
        <f aca="false">SUMPRODUCT((RAW_DATA!B$2:B$5000=B16)*(RAW_DATA!C$2:C$5000=A16)*(RAW_DATA!E$2:E$5000="Transport")*RAW_DATA!H$2:H$5000)</f>
        <v>1572</v>
      </c>
      <c r="K16" s="14" t="n">
        <f aca="false">SUMPRODUCT((RAW_DATA!B$2:B$5000=B16)*(RAW_DATA!C$2:C$5000=A16)*(RAW_DATA!E$2:E$5000="Health")*RAW_DATA!H$2:H$5000)</f>
        <v>1439</v>
      </c>
      <c r="L16" s="14" t="n">
        <f aca="false">SUMPRODUCT((RAW_DATA!B$2:B$5000=B16)*(RAW_DATA!C$2:C$5000=A16)*(RAW_DATA!E$2:E$5000="Shopping")*RAW_DATA!H$2:H$5000)</f>
        <v>1613</v>
      </c>
      <c r="M16" s="14" t="n">
        <f aca="false">SUMPRODUCT((RAW_DATA!B$2:B$5000=B16)*(RAW_DATA!C$2:C$5000=A16)*(RAW_DATA!E$2:E$5000="Entertainment")*RAW_DATA!H$2:H$5000)</f>
        <v>0</v>
      </c>
      <c r="N16" s="14" t="n">
        <f aca="false">SUMPRODUCT((RAW_DATA!B$2:B$5000=B16)*(RAW_DATA!C$2:C$5000=A16)*(RAW_DATA!E$2:E$5000="Education")*RAW_DATA!H$2:H$5000)</f>
        <v>1278</v>
      </c>
      <c r="O16" s="14" t="n">
        <f aca="false">SUMPRODUCT((RAW_DATA!B$2:B$5000=B16)*(RAW_DATA!C$2:C$5000=A16)*(RAW_DATA!E$2:E$5000="Others")*RAW_DATA!H$2:H$5000)</f>
        <v>926</v>
      </c>
      <c r="P16" s="14" t="n">
        <f aca="false">P15+E16+F16</f>
        <v>761790</v>
      </c>
    </row>
    <row r="17" customFormat="false" ht="15" hidden="false" customHeight="true" outlineLevel="0" collapsed="false">
      <c r="A17" s="7" t="n">
        <v>2024</v>
      </c>
      <c r="B17" s="7" t="s">
        <v>63</v>
      </c>
      <c r="C17" s="11" t="n">
        <f aca="false">SUMPRODUCT((RAW_DATA!B$2:B$5000=B17)*(RAW_DATA!C$2:C$5000=A17)*(RAW_DATA!D$2:D$5000="Income")*RAW_DATA!H$2:H$5000)</f>
        <v>76894</v>
      </c>
      <c r="D17" s="11" t="n">
        <f aca="false">SUMPRODUCT((RAW_DATA!B$2:B$5000=B17)*(RAW_DATA!C$2:C$5000=A17)*(RAW_DATA!D$2:D$5000="Expense")*RAW_DATA!H$2:H$5000)</f>
        <v>16013</v>
      </c>
      <c r="E17" s="11" t="n">
        <f aca="false">SUMPRODUCT((RAW_DATA!B$2:B$5000=B17)*(RAW_DATA!C$2:C$5000=A17)*(RAW_DATA!D$2:D$5000="Savings")*RAW_DATA!H$2:H$5000)</f>
        <v>15000</v>
      </c>
      <c r="F17" s="11" t="n">
        <f aca="false">C17-D17-E17</f>
        <v>45881</v>
      </c>
      <c r="G17" s="12" t="n">
        <f aca="false">IF(C17&gt;0,(E17+F17)/C17,0)</f>
        <v>0.791752282362733</v>
      </c>
      <c r="H17" s="11" t="n">
        <f aca="false">SUMPRODUCT((RAW_DATA!B$2:B$5000=B17)*(RAW_DATA!C$2:C$5000=A17)*(RAW_DATA!E$2:E$5000="Housing")*RAW_DATA!H$2:H$5000)</f>
        <v>6727</v>
      </c>
      <c r="I17" s="11" t="n">
        <f aca="false">SUMPRODUCT((RAW_DATA!B$2:B$5000=B17)*(RAW_DATA!C$2:C$5000=A17)*(RAW_DATA!E$2:E$5000="Food")*RAW_DATA!H$2:H$5000)</f>
        <v>0</v>
      </c>
      <c r="J17" s="11" t="n">
        <f aca="false">SUMPRODUCT((RAW_DATA!B$2:B$5000=B17)*(RAW_DATA!C$2:C$5000=A17)*(RAW_DATA!E$2:E$5000="Transport")*RAW_DATA!H$2:H$5000)</f>
        <v>1645</v>
      </c>
      <c r="K17" s="11" t="n">
        <f aca="false">SUMPRODUCT((RAW_DATA!B$2:B$5000=B17)*(RAW_DATA!C$2:C$5000=A17)*(RAW_DATA!E$2:E$5000="Health")*RAW_DATA!H$2:H$5000)</f>
        <v>1362</v>
      </c>
      <c r="L17" s="11" t="n">
        <f aca="false">SUMPRODUCT((RAW_DATA!B$2:B$5000=B17)*(RAW_DATA!C$2:C$5000=A17)*(RAW_DATA!E$2:E$5000="Shopping")*RAW_DATA!H$2:H$5000)</f>
        <v>3577</v>
      </c>
      <c r="M17" s="11" t="n">
        <f aca="false">SUMPRODUCT((RAW_DATA!B$2:B$5000=B17)*(RAW_DATA!C$2:C$5000=A17)*(RAW_DATA!E$2:E$5000="Entertainment")*RAW_DATA!H$2:H$5000)</f>
        <v>0</v>
      </c>
      <c r="N17" s="11" t="n">
        <f aca="false">SUMPRODUCT((RAW_DATA!B$2:B$5000=B17)*(RAW_DATA!C$2:C$5000=A17)*(RAW_DATA!E$2:E$5000="Education")*RAW_DATA!H$2:H$5000)</f>
        <v>1592</v>
      </c>
      <c r="O17" s="11" t="n">
        <f aca="false">SUMPRODUCT((RAW_DATA!B$2:B$5000=B17)*(RAW_DATA!C$2:C$5000=A17)*(RAW_DATA!E$2:E$5000="Others")*RAW_DATA!H$2:H$5000)</f>
        <v>1110</v>
      </c>
      <c r="P17" s="11" t="n">
        <f aca="false">P16+E17+F17</f>
        <v>822671</v>
      </c>
    </row>
    <row r="18" customFormat="false" ht="15" hidden="false" customHeight="true" outlineLevel="0" collapsed="false">
      <c r="A18" s="13" t="n">
        <v>2024</v>
      </c>
      <c r="B18" s="13" t="s">
        <v>85</v>
      </c>
      <c r="C18" s="14" t="n">
        <f aca="false">SUMPRODUCT((RAW_DATA!B$2:B$5000=B18)*(RAW_DATA!C$2:C$5000=A18)*(RAW_DATA!D$2:D$5000="Income")*RAW_DATA!H$2:H$5000)</f>
        <v>65000</v>
      </c>
      <c r="D18" s="14" t="n">
        <f aca="false">SUMPRODUCT((RAW_DATA!B$2:B$5000=B18)*(RAW_DATA!C$2:C$5000=A18)*(RAW_DATA!D$2:D$5000="Expense")*RAW_DATA!H$2:H$5000)</f>
        <v>19522</v>
      </c>
      <c r="E18" s="14" t="n">
        <f aca="false">SUMPRODUCT((RAW_DATA!B$2:B$5000=B18)*(RAW_DATA!C$2:C$5000=A18)*(RAW_DATA!D$2:D$5000="Savings")*RAW_DATA!H$2:H$5000)</f>
        <v>10000</v>
      </c>
      <c r="F18" s="14" t="n">
        <f aca="false">C18-D18-E18</f>
        <v>35478</v>
      </c>
      <c r="G18" s="15" t="n">
        <f aca="false">IF(C18&gt;0,(E18+F18)/C18,0)</f>
        <v>0.699661538461538</v>
      </c>
      <c r="H18" s="14" t="n">
        <f aca="false">SUMPRODUCT((RAW_DATA!B$2:B$5000=B18)*(RAW_DATA!C$2:C$5000=A18)*(RAW_DATA!E$2:E$5000="Housing")*RAW_DATA!H$2:H$5000)</f>
        <v>10700</v>
      </c>
      <c r="I18" s="14" t="n">
        <f aca="false">SUMPRODUCT((RAW_DATA!B$2:B$5000=B18)*(RAW_DATA!C$2:C$5000=A18)*(RAW_DATA!E$2:E$5000="Food")*RAW_DATA!H$2:H$5000)</f>
        <v>4004</v>
      </c>
      <c r="J18" s="14" t="n">
        <f aca="false">SUMPRODUCT((RAW_DATA!B$2:B$5000=B18)*(RAW_DATA!C$2:C$5000=A18)*(RAW_DATA!E$2:E$5000="Transport")*RAW_DATA!H$2:H$5000)</f>
        <v>1247</v>
      </c>
      <c r="K18" s="14" t="n">
        <f aca="false">SUMPRODUCT((RAW_DATA!B$2:B$5000=B18)*(RAW_DATA!C$2:C$5000=A18)*(RAW_DATA!E$2:E$5000="Health")*RAW_DATA!H$2:H$5000)</f>
        <v>0</v>
      </c>
      <c r="L18" s="14" t="n">
        <f aca="false">SUMPRODUCT((RAW_DATA!B$2:B$5000=B18)*(RAW_DATA!C$2:C$5000=A18)*(RAW_DATA!E$2:E$5000="Shopping")*RAW_DATA!H$2:H$5000)</f>
        <v>1882</v>
      </c>
      <c r="M18" s="14" t="n">
        <f aca="false">SUMPRODUCT((RAW_DATA!B$2:B$5000=B18)*(RAW_DATA!C$2:C$5000=A18)*(RAW_DATA!E$2:E$5000="Entertainment")*RAW_DATA!H$2:H$5000)</f>
        <v>743</v>
      </c>
      <c r="N18" s="14" t="n">
        <f aca="false">SUMPRODUCT((RAW_DATA!B$2:B$5000=B18)*(RAW_DATA!C$2:C$5000=A18)*(RAW_DATA!E$2:E$5000="Education")*RAW_DATA!H$2:H$5000)</f>
        <v>0</v>
      </c>
      <c r="O18" s="14" t="n">
        <f aca="false">SUMPRODUCT((RAW_DATA!B$2:B$5000=B18)*(RAW_DATA!C$2:C$5000=A18)*(RAW_DATA!E$2:E$5000="Others")*RAW_DATA!H$2:H$5000)</f>
        <v>946</v>
      </c>
      <c r="P18" s="14" t="n">
        <f aca="false">P17+E18+F18</f>
        <v>868149</v>
      </c>
    </row>
    <row r="19" customFormat="false" ht="15" hidden="false" customHeight="true" outlineLevel="0" collapsed="false">
      <c r="A19" s="7" t="n">
        <v>2024</v>
      </c>
      <c r="B19" s="7" t="s">
        <v>105</v>
      </c>
      <c r="C19" s="11" t="n">
        <f aca="false">SUMPRODUCT((RAW_DATA!B$2:B$5000=B19)*(RAW_DATA!C$2:C$5000=A19)*(RAW_DATA!D$2:D$5000="Income")*RAW_DATA!H$2:H$5000)</f>
        <v>65000</v>
      </c>
      <c r="D19" s="11" t="n">
        <f aca="false">SUMPRODUCT((RAW_DATA!B$2:B$5000=B19)*(RAW_DATA!C$2:C$5000=A19)*(RAW_DATA!D$2:D$5000="Expense")*RAW_DATA!H$2:H$5000)</f>
        <v>28005</v>
      </c>
      <c r="E19" s="11" t="n">
        <f aca="false">SUMPRODUCT((RAW_DATA!B$2:B$5000=B19)*(RAW_DATA!C$2:C$5000=A19)*(RAW_DATA!D$2:D$5000="Savings")*RAW_DATA!H$2:H$5000)</f>
        <v>10000</v>
      </c>
      <c r="F19" s="11" t="n">
        <f aca="false">C19-D19-E19</f>
        <v>26995</v>
      </c>
      <c r="G19" s="12" t="n">
        <f aca="false">IF(C19&gt;0,(E19+F19)/C19,0)</f>
        <v>0.569153846153846</v>
      </c>
      <c r="H19" s="11" t="n">
        <f aca="false">SUMPRODUCT((RAW_DATA!B$2:B$5000=B19)*(RAW_DATA!C$2:C$5000=A19)*(RAW_DATA!E$2:E$5000="Housing")*RAW_DATA!H$2:H$5000)</f>
        <v>12547</v>
      </c>
      <c r="I19" s="11" t="n">
        <f aca="false">SUMPRODUCT((RAW_DATA!B$2:B$5000=B19)*(RAW_DATA!C$2:C$5000=A19)*(RAW_DATA!E$2:E$5000="Food")*RAW_DATA!H$2:H$5000)</f>
        <v>5175</v>
      </c>
      <c r="J19" s="11" t="n">
        <f aca="false">SUMPRODUCT((RAW_DATA!B$2:B$5000=B19)*(RAW_DATA!C$2:C$5000=A19)*(RAW_DATA!E$2:E$5000="Transport")*RAW_DATA!H$2:H$5000)</f>
        <v>1260</v>
      </c>
      <c r="K19" s="11" t="n">
        <f aca="false">SUMPRODUCT((RAW_DATA!B$2:B$5000=B19)*(RAW_DATA!C$2:C$5000=A19)*(RAW_DATA!E$2:E$5000="Health")*RAW_DATA!H$2:H$5000)</f>
        <v>968</v>
      </c>
      <c r="L19" s="11" t="n">
        <f aca="false">SUMPRODUCT((RAW_DATA!B$2:B$5000=B19)*(RAW_DATA!C$2:C$5000=A19)*(RAW_DATA!E$2:E$5000="Shopping")*RAW_DATA!H$2:H$5000)</f>
        <v>3312</v>
      </c>
      <c r="M19" s="11" t="n">
        <f aca="false">SUMPRODUCT((RAW_DATA!B$2:B$5000=B19)*(RAW_DATA!C$2:C$5000=A19)*(RAW_DATA!E$2:E$5000="Entertainment")*RAW_DATA!H$2:H$5000)</f>
        <v>702</v>
      </c>
      <c r="N19" s="11" t="n">
        <f aca="false">SUMPRODUCT((RAW_DATA!B$2:B$5000=B19)*(RAW_DATA!C$2:C$5000=A19)*(RAW_DATA!E$2:E$5000="Education")*RAW_DATA!H$2:H$5000)</f>
        <v>2920</v>
      </c>
      <c r="O19" s="11" t="n">
        <f aca="false">SUMPRODUCT((RAW_DATA!B$2:B$5000=B19)*(RAW_DATA!C$2:C$5000=A19)*(RAW_DATA!E$2:E$5000="Others")*RAW_DATA!H$2:H$5000)</f>
        <v>1121</v>
      </c>
      <c r="P19" s="11" t="n">
        <f aca="false">P18+E19+F19</f>
        <v>905144</v>
      </c>
    </row>
    <row r="20" customFormat="false" ht="15" hidden="false" customHeight="true" outlineLevel="0" collapsed="false">
      <c r="A20" s="13" t="n">
        <v>2024</v>
      </c>
      <c r="B20" s="13" t="s">
        <v>123</v>
      </c>
      <c r="C20" s="14" t="n">
        <f aca="false">SUMPRODUCT((RAW_DATA!B$2:B$5000=B20)*(RAW_DATA!C$2:C$5000=A20)*(RAW_DATA!D$2:D$5000="Income")*RAW_DATA!H$2:H$5000)</f>
        <v>65000</v>
      </c>
      <c r="D20" s="14" t="n">
        <f aca="false">SUMPRODUCT((RAW_DATA!B$2:B$5000=B20)*(RAW_DATA!C$2:C$5000=A20)*(RAW_DATA!D$2:D$5000="Expense")*RAW_DATA!H$2:H$5000)</f>
        <v>21787</v>
      </c>
      <c r="E20" s="14" t="n">
        <f aca="false">SUMPRODUCT((RAW_DATA!B$2:B$5000=B20)*(RAW_DATA!C$2:C$5000=A20)*(RAW_DATA!D$2:D$5000="Savings")*RAW_DATA!H$2:H$5000)</f>
        <v>15000</v>
      </c>
      <c r="F20" s="14" t="n">
        <f aca="false">C20-D20-E20</f>
        <v>28213</v>
      </c>
      <c r="G20" s="15" t="n">
        <f aca="false">IF(C20&gt;0,(E20+F20)/C20,0)</f>
        <v>0.664815384615385</v>
      </c>
      <c r="H20" s="14" t="n">
        <f aca="false">SUMPRODUCT((RAW_DATA!B$2:B$5000=B20)*(RAW_DATA!C$2:C$5000=A20)*(RAW_DATA!E$2:E$5000="Housing")*RAW_DATA!H$2:H$5000)</f>
        <v>10451</v>
      </c>
      <c r="I20" s="14" t="n">
        <f aca="false">SUMPRODUCT((RAW_DATA!B$2:B$5000=B20)*(RAW_DATA!C$2:C$5000=A20)*(RAW_DATA!E$2:E$5000="Food")*RAW_DATA!H$2:H$5000)</f>
        <v>2666</v>
      </c>
      <c r="J20" s="14" t="n">
        <f aca="false">SUMPRODUCT((RAW_DATA!B$2:B$5000=B20)*(RAW_DATA!C$2:C$5000=A20)*(RAW_DATA!E$2:E$5000="Transport")*RAW_DATA!H$2:H$5000)</f>
        <v>1338</v>
      </c>
      <c r="K20" s="14" t="n">
        <f aca="false">SUMPRODUCT((RAW_DATA!B$2:B$5000=B20)*(RAW_DATA!C$2:C$5000=A20)*(RAW_DATA!E$2:E$5000="Health")*RAW_DATA!H$2:H$5000)</f>
        <v>1571</v>
      </c>
      <c r="L20" s="14" t="n">
        <f aca="false">SUMPRODUCT((RAW_DATA!B$2:B$5000=B20)*(RAW_DATA!C$2:C$5000=A20)*(RAW_DATA!E$2:E$5000="Shopping")*RAW_DATA!H$2:H$5000)</f>
        <v>1580</v>
      </c>
      <c r="M20" s="14" t="n">
        <f aca="false">SUMPRODUCT((RAW_DATA!B$2:B$5000=B20)*(RAW_DATA!C$2:C$5000=A20)*(RAW_DATA!E$2:E$5000="Entertainment")*RAW_DATA!H$2:H$5000)</f>
        <v>900</v>
      </c>
      <c r="N20" s="14" t="n">
        <f aca="false">SUMPRODUCT((RAW_DATA!B$2:B$5000=B20)*(RAW_DATA!C$2:C$5000=A20)*(RAW_DATA!E$2:E$5000="Education")*RAW_DATA!H$2:H$5000)</f>
        <v>2302</v>
      </c>
      <c r="O20" s="14" t="n">
        <f aca="false">SUMPRODUCT((RAW_DATA!B$2:B$5000=B20)*(RAW_DATA!C$2:C$5000=A20)*(RAW_DATA!E$2:E$5000="Others")*RAW_DATA!H$2:H$5000)</f>
        <v>979</v>
      </c>
      <c r="P20" s="14" t="n">
        <f aca="false">P19+E20+F20</f>
        <v>948357</v>
      </c>
    </row>
    <row r="21" customFormat="false" ht="15" hidden="false" customHeight="true" outlineLevel="0" collapsed="false">
      <c r="A21" s="7" t="n">
        <v>2024</v>
      </c>
      <c r="B21" s="7" t="s">
        <v>139</v>
      </c>
      <c r="C21" s="11" t="n">
        <f aca="false">SUMPRODUCT((RAW_DATA!B$2:B$5000=B21)*(RAW_DATA!C$2:C$5000=A21)*(RAW_DATA!D$2:D$5000="Income")*RAW_DATA!H$2:H$5000)</f>
        <v>65000</v>
      </c>
      <c r="D21" s="11" t="n">
        <f aca="false">SUMPRODUCT((RAW_DATA!B$2:B$5000=B21)*(RAW_DATA!C$2:C$5000=A21)*(RAW_DATA!D$2:D$5000="Expense")*RAW_DATA!H$2:H$5000)</f>
        <v>6019</v>
      </c>
      <c r="E21" s="11" t="n">
        <f aca="false">SUMPRODUCT((RAW_DATA!B$2:B$5000=B21)*(RAW_DATA!C$2:C$5000=A21)*(RAW_DATA!D$2:D$5000="Savings")*RAW_DATA!H$2:H$5000)</f>
        <v>10000</v>
      </c>
      <c r="F21" s="11" t="n">
        <f aca="false">C21-D21-E21</f>
        <v>48981</v>
      </c>
      <c r="G21" s="12" t="n">
        <f aca="false">IF(C21&gt;0,(E21+F21)/C21,0)</f>
        <v>0.9074</v>
      </c>
      <c r="H21" s="11" t="n">
        <f aca="false">SUMPRODUCT((RAW_DATA!B$2:B$5000=B21)*(RAW_DATA!C$2:C$5000=A21)*(RAW_DATA!E$2:E$5000="Housing")*RAW_DATA!H$2:H$5000)</f>
        <v>0</v>
      </c>
      <c r="I21" s="11" t="n">
        <f aca="false">SUMPRODUCT((RAW_DATA!B$2:B$5000=B21)*(RAW_DATA!C$2:C$5000=A21)*(RAW_DATA!E$2:E$5000="Food")*RAW_DATA!H$2:H$5000)</f>
        <v>0</v>
      </c>
      <c r="J21" s="11" t="n">
        <f aca="false">SUMPRODUCT((RAW_DATA!B$2:B$5000=B21)*(RAW_DATA!C$2:C$5000=A21)*(RAW_DATA!E$2:E$5000="Transport")*RAW_DATA!H$2:H$5000)</f>
        <v>1238</v>
      </c>
      <c r="K21" s="11" t="n">
        <f aca="false">SUMPRODUCT((RAW_DATA!B$2:B$5000=B21)*(RAW_DATA!C$2:C$5000=A21)*(RAW_DATA!E$2:E$5000="Health")*RAW_DATA!H$2:H$5000)</f>
        <v>1526</v>
      </c>
      <c r="L21" s="11" t="n">
        <f aca="false">SUMPRODUCT((RAW_DATA!B$2:B$5000=B21)*(RAW_DATA!C$2:C$5000=A21)*(RAW_DATA!E$2:E$5000="Shopping")*RAW_DATA!H$2:H$5000)</f>
        <v>3255</v>
      </c>
      <c r="M21" s="11" t="n">
        <f aca="false">SUMPRODUCT((RAW_DATA!B$2:B$5000=B21)*(RAW_DATA!C$2:C$5000=A21)*(RAW_DATA!E$2:E$5000="Entertainment")*RAW_DATA!H$2:H$5000)</f>
        <v>0</v>
      </c>
      <c r="N21" s="11" t="n">
        <f aca="false">SUMPRODUCT((RAW_DATA!B$2:B$5000=B21)*(RAW_DATA!C$2:C$5000=A21)*(RAW_DATA!E$2:E$5000="Education")*RAW_DATA!H$2:H$5000)</f>
        <v>0</v>
      </c>
      <c r="O21" s="11" t="n">
        <f aca="false">SUMPRODUCT((RAW_DATA!B$2:B$5000=B21)*(RAW_DATA!C$2:C$5000=A21)*(RAW_DATA!E$2:E$5000="Others")*RAW_DATA!H$2:H$5000)</f>
        <v>0</v>
      </c>
      <c r="P21" s="11" t="n">
        <f aca="false">P20+E21+F21</f>
        <v>1007338</v>
      </c>
    </row>
    <row r="22" customFormat="false" ht="15" hidden="false" customHeight="true" outlineLevel="0" collapsed="false">
      <c r="A22" s="13" t="n">
        <v>2024</v>
      </c>
      <c r="B22" s="13" t="s">
        <v>155</v>
      </c>
      <c r="C22" s="14" t="n">
        <f aca="false">SUMPRODUCT((RAW_DATA!B$2:B$5000=B22)*(RAW_DATA!C$2:C$5000=A22)*(RAW_DATA!D$2:D$5000="Income")*RAW_DATA!H$2:H$5000)</f>
        <v>65000</v>
      </c>
      <c r="D22" s="14" t="n">
        <f aca="false">SUMPRODUCT((RAW_DATA!B$2:B$5000=B22)*(RAW_DATA!C$2:C$5000=A22)*(RAW_DATA!D$2:D$5000="Expense")*RAW_DATA!H$2:H$5000)</f>
        <v>8693</v>
      </c>
      <c r="E22" s="14" t="n">
        <f aca="false">SUMPRODUCT((RAW_DATA!B$2:B$5000=B22)*(RAW_DATA!C$2:C$5000=A22)*(RAW_DATA!D$2:D$5000="Savings")*RAW_DATA!H$2:H$5000)</f>
        <v>10000</v>
      </c>
      <c r="F22" s="14" t="n">
        <f aca="false">C22-D22-E22</f>
        <v>46307</v>
      </c>
      <c r="G22" s="15" t="n">
        <f aca="false">IF(C22&gt;0,(E22+F22)/C22,0)</f>
        <v>0.866261538461538</v>
      </c>
      <c r="H22" s="14" t="n">
        <f aca="false">SUMPRODUCT((RAW_DATA!B$2:B$5000=B22)*(RAW_DATA!C$2:C$5000=A22)*(RAW_DATA!E$2:E$5000="Housing")*RAW_DATA!H$2:H$5000)</f>
        <v>0</v>
      </c>
      <c r="I22" s="14" t="n">
        <f aca="false">SUMPRODUCT((RAW_DATA!B$2:B$5000=B22)*(RAW_DATA!C$2:C$5000=A22)*(RAW_DATA!E$2:E$5000="Food")*RAW_DATA!H$2:H$5000)</f>
        <v>5180</v>
      </c>
      <c r="J22" s="14" t="n">
        <f aca="false">SUMPRODUCT((RAW_DATA!B$2:B$5000=B22)*(RAW_DATA!C$2:C$5000=A22)*(RAW_DATA!E$2:E$5000="Transport")*RAW_DATA!H$2:H$5000)</f>
        <v>0</v>
      </c>
      <c r="K22" s="14" t="n">
        <f aca="false">SUMPRODUCT((RAW_DATA!B$2:B$5000=B22)*(RAW_DATA!C$2:C$5000=A22)*(RAW_DATA!E$2:E$5000="Health")*RAW_DATA!H$2:H$5000)</f>
        <v>0</v>
      </c>
      <c r="L22" s="14" t="n">
        <f aca="false">SUMPRODUCT((RAW_DATA!B$2:B$5000=B22)*(RAW_DATA!C$2:C$5000=A22)*(RAW_DATA!E$2:E$5000="Shopping")*RAW_DATA!H$2:H$5000)</f>
        <v>0</v>
      </c>
      <c r="M22" s="14" t="n">
        <f aca="false">SUMPRODUCT((RAW_DATA!B$2:B$5000=B22)*(RAW_DATA!C$2:C$5000=A22)*(RAW_DATA!E$2:E$5000="Entertainment")*RAW_DATA!H$2:H$5000)</f>
        <v>769</v>
      </c>
      <c r="N22" s="14" t="n">
        <f aca="false">SUMPRODUCT((RAW_DATA!B$2:B$5000=B22)*(RAW_DATA!C$2:C$5000=A22)*(RAW_DATA!E$2:E$5000="Education")*RAW_DATA!H$2:H$5000)</f>
        <v>2744</v>
      </c>
      <c r="O22" s="14" t="n">
        <f aca="false">SUMPRODUCT((RAW_DATA!B$2:B$5000=B22)*(RAW_DATA!C$2:C$5000=A22)*(RAW_DATA!E$2:E$5000="Others")*RAW_DATA!H$2:H$5000)</f>
        <v>0</v>
      </c>
      <c r="P22" s="14" t="n">
        <f aca="false">P21+E22+F22</f>
        <v>1063645</v>
      </c>
    </row>
    <row r="23" customFormat="false" ht="15" hidden="false" customHeight="true" outlineLevel="0" collapsed="false">
      <c r="A23" s="7" t="n">
        <v>2024</v>
      </c>
      <c r="B23" s="7" t="s">
        <v>170</v>
      </c>
      <c r="C23" s="11" t="n">
        <f aca="false">SUMPRODUCT((RAW_DATA!B$2:B$5000=B23)*(RAW_DATA!C$2:C$5000=A23)*(RAW_DATA!D$2:D$5000="Income")*RAW_DATA!H$2:H$5000)</f>
        <v>84241</v>
      </c>
      <c r="D23" s="11" t="n">
        <f aca="false">SUMPRODUCT((RAW_DATA!B$2:B$5000=B23)*(RAW_DATA!C$2:C$5000=A23)*(RAW_DATA!D$2:D$5000="Expense")*RAW_DATA!H$2:H$5000)</f>
        <v>9513</v>
      </c>
      <c r="E23" s="11" t="n">
        <f aca="false">SUMPRODUCT((RAW_DATA!B$2:B$5000=B23)*(RAW_DATA!C$2:C$5000=A23)*(RAW_DATA!D$2:D$5000="Savings")*RAW_DATA!H$2:H$5000)</f>
        <v>15000</v>
      </c>
      <c r="F23" s="11" t="n">
        <f aca="false">C23-D23-E23</f>
        <v>59728</v>
      </c>
      <c r="G23" s="12" t="n">
        <f aca="false">IF(C23&gt;0,(E23+F23)/C23,0)</f>
        <v>0.887073990099833</v>
      </c>
      <c r="H23" s="11" t="n">
        <f aca="false">SUMPRODUCT((RAW_DATA!B$2:B$5000=B23)*(RAW_DATA!C$2:C$5000=A23)*(RAW_DATA!E$2:E$5000="Housing")*RAW_DATA!H$2:H$5000)</f>
        <v>0</v>
      </c>
      <c r="I23" s="11" t="n">
        <f aca="false">SUMPRODUCT((RAW_DATA!B$2:B$5000=B23)*(RAW_DATA!C$2:C$5000=A23)*(RAW_DATA!E$2:E$5000="Food")*RAW_DATA!H$2:H$5000)</f>
        <v>4004</v>
      </c>
      <c r="J23" s="11" t="n">
        <f aca="false">SUMPRODUCT((RAW_DATA!B$2:B$5000=B23)*(RAW_DATA!C$2:C$5000=A23)*(RAW_DATA!E$2:E$5000="Transport")*RAW_DATA!H$2:H$5000)</f>
        <v>2140</v>
      </c>
      <c r="K23" s="11" t="n">
        <f aca="false">SUMPRODUCT((RAW_DATA!B$2:B$5000=B23)*(RAW_DATA!C$2:C$5000=A23)*(RAW_DATA!E$2:E$5000="Health")*RAW_DATA!H$2:H$5000)</f>
        <v>1357</v>
      </c>
      <c r="L23" s="11" t="n">
        <f aca="false">SUMPRODUCT((RAW_DATA!B$2:B$5000=B23)*(RAW_DATA!C$2:C$5000=A23)*(RAW_DATA!E$2:E$5000="Shopping")*RAW_DATA!H$2:H$5000)</f>
        <v>0</v>
      </c>
      <c r="M23" s="11" t="n">
        <f aca="false">SUMPRODUCT((RAW_DATA!B$2:B$5000=B23)*(RAW_DATA!C$2:C$5000=A23)*(RAW_DATA!E$2:E$5000="Entertainment")*RAW_DATA!H$2:H$5000)</f>
        <v>0</v>
      </c>
      <c r="N23" s="11" t="n">
        <f aca="false">SUMPRODUCT((RAW_DATA!B$2:B$5000=B23)*(RAW_DATA!C$2:C$5000=A23)*(RAW_DATA!E$2:E$5000="Education")*RAW_DATA!H$2:H$5000)</f>
        <v>2012</v>
      </c>
      <c r="O23" s="11" t="n">
        <f aca="false">SUMPRODUCT((RAW_DATA!B$2:B$5000=B23)*(RAW_DATA!C$2:C$5000=A23)*(RAW_DATA!E$2:E$5000="Others")*RAW_DATA!H$2:H$5000)</f>
        <v>0</v>
      </c>
      <c r="P23" s="11" t="n">
        <f aca="false">P22+E23+F23</f>
        <v>1138373</v>
      </c>
    </row>
    <row r="24" customFormat="false" ht="15" hidden="false" customHeight="true" outlineLevel="0" collapsed="false">
      <c r="A24" s="13" t="n">
        <v>2024</v>
      </c>
      <c r="B24" s="13" t="s">
        <v>188</v>
      </c>
      <c r="C24" s="14" t="n">
        <f aca="false">SUMPRODUCT((RAW_DATA!B$2:B$5000=B24)*(RAW_DATA!C$2:C$5000=A24)*(RAW_DATA!D$2:D$5000="Income")*RAW_DATA!H$2:H$5000)</f>
        <v>80276</v>
      </c>
      <c r="D24" s="14" t="n">
        <f aca="false">SUMPRODUCT((RAW_DATA!B$2:B$5000=B24)*(RAW_DATA!C$2:C$5000=A24)*(RAW_DATA!D$2:D$5000="Expense")*RAW_DATA!H$2:H$5000)</f>
        <v>11565</v>
      </c>
      <c r="E24" s="14" t="n">
        <f aca="false">SUMPRODUCT((RAW_DATA!B$2:B$5000=B24)*(RAW_DATA!C$2:C$5000=A24)*(RAW_DATA!D$2:D$5000="Savings")*RAW_DATA!H$2:H$5000)</f>
        <v>10000</v>
      </c>
      <c r="F24" s="14" t="n">
        <f aca="false">C24-D24-E24</f>
        <v>58711</v>
      </c>
      <c r="G24" s="15" t="n">
        <f aca="false">IF(C24&gt;0,(E24+F24)/C24,0)</f>
        <v>0.855934525885694</v>
      </c>
      <c r="H24" s="14" t="n">
        <f aca="false">SUMPRODUCT((RAW_DATA!B$2:B$5000=B24)*(RAW_DATA!C$2:C$5000=A24)*(RAW_DATA!E$2:E$5000="Housing")*RAW_DATA!H$2:H$5000)</f>
        <v>0</v>
      </c>
      <c r="I24" s="14" t="n">
        <f aca="false">SUMPRODUCT((RAW_DATA!B$2:B$5000=B24)*(RAW_DATA!C$2:C$5000=A24)*(RAW_DATA!E$2:E$5000="Food")*RAW_DATA!H$2:H$5000)</f>
        <v>4902</v>
      </c>
      <c r="J24" s="14" t="n">
        <f aca="false">SUMPRODUCT((RAW_DATA!B$2:B$5000=B24)*(RAW_DATA!C$2:C$5000=A24)*(RAW_DATA!E$2:E$5000="Transport")*RAW_DATA!H$2:H$5000)</f>
        <v>1611</v>
      </c>
      <c r="K24" s="14" t="n">
        <f aca="false">SUMPRODUCT((RAW_DATA!B$2:B$5000=B24)*(RAW_DATA!C$2:C$5000=A24)*(RAW_DATA!E$2:E$5000="Health")*RAW_DATA!H$2:H$5000)</f>
        <v>1756</v>
      </c>
      <c r="L24" s="14" t="n">
        <f aca="false">SUMPRODUCT((RAW_DATA!B$2:B$5000=B24)*(RAW_DATA!C$2:C$5000=A24)*(RAW_DATA!E$2:E$5000="Shopping")*RAW_DATA!H$2:H$5000)</f>
        <v>0</v>
      </c>
      <c r="M24" s="14" t="n">
        <f aca="false">SUMPRODUCT((RAW_DATA!B$2:B$5000=B24)*(RAW_DATA!C$2:C$5000=A24)*(RAW_DATA!E$2:E$5000="Entertainment")*RAW_DATA!H$2:H$5000)</f>
        <v>648</v>
      </c>
      <c r="N24" s="14" t="n">
        <f aca="false">SUMPRODUCT((RAW_DATA!B$2:B$5000=B24)*(RAW_DATA!C$2:C$5000=A24)*(RAW_DATA!E$2:E$5000="Education")*RAW_DATA!H$2:H$5000)</f>
        <v>2648</v>
      </c>
      <c r="O24" s="14" t="n">
        <f aca="false">SUMPRODUCT((RAW_DATA!B$2:B$5000=B24)*(RAW_DATA!C$2:C$5000=A24)*(RAW_DATA!E$2:E$5000="Others")*RAW_DATA!H$2:H$5000)</f>
        <v>0</v>
      </c>
      <c r="P24" s="14" t="n">
        <f aca="false">P23+E24+F24</f>
        <v>1207084</v>
      </c>
    </row>
    <row r="25" customFormat="false" ht="15" hidden="false" customHeight="true" outlineLevel="0" collapsed="false">
      <c r="A25" s="7" t="n">
        <v>2024</v>
      </c>
      <c r="B25" s="7" t="s">
        <v>202</v>
      </c>
      <c r="C25" s="11" t="n">
        <f aca="false">SUMPRODUCT((RAW_DATA!B$2:B$5000=B25)*(RAW_DATA!C$2:C$5000=A25)*(RAW_DATA!D$2:D$5000="Income")*RAW_DATA!H$2:H$5000)</f>
        <v>65000</v>
      </c>
      <c r="D25" s="11" t="n">
        <f aca="false">SUMPRODUCT((RAW_DATA!B$2:B$5000=B25)*(RAW_DATA!C$2:C$5000=A25)*(RAW_DATA!D$2:D$5000="Expense")*RAW_DATA!H$2:H$5000)</f>
        <v>25930</v>
      </c>
      <c r="E25" s="11" t="n">
        <f aca="false">SUMPRODUCT((RAW_DATA!B$2:B$5000=B25)*(RAW_DATA!C$2:C$5000=A25)*(RAW_DATA!D$2:D$5000="Savings")*RAW_DATA!H$2:H$5000)</f>
        <v>10000</v>
      </c>
      <c r="F25" s="11" t="n">
        <f aca="false">C25-D25-E25</f>
        <v>29070</v>
      </c>
      <c r="G25" s="12" t="n">
        <f aca="false">IF(C25&gt;0,(E25+F25)/C25,0)</f>
        <v>0.601076923076923</v>
      </c>
      <c r="H25" s="11" t="n">
        <f aca="false">SUMPRODUCT((RAW_DATA!B$2:B$5000=B25)*(RAW_DATA!C$2:C$5000=A25)*(RAW_DATA!E$2:E$5000="Housing")*RAW_DATA!H$2:H$5000)</f>
        <v>14817</v>
      </c>
      <c r="I25" s="11" t="n">
        <f aca="false">SUMPRODUCT((RAW_DATA!B$2:B$5000=B25)*(RAW_DATA!C$2:C$5000=A25)*(RAW_DATA!E$2:E$5000="Food")*RAW_DATA!H$2:H$5000)</f>
        <v>3420</v>
      </c>
      <c r="J25" s="11" t="n">
        <f aca="false">SUMPRODUCT((RAW_DATA!B$2:B$5000=B25)*(RAW_DATA!C$2:C$5000=A25)*(RAW_DATA!E$2:E$5000="Transport")*RAW_DATA!H$2:H$5000)</f>
        <v>0</v>
      </c>
      <c r="K25" s="11" t="n">
        <f aca="false">SUMPRODUCT((RAW_DATA!B$2:B$5000=B25)*(RAW_DATA!C$2:C$5000=A25)*(RAW_DATA!E$2:E$5000="Health")*RAW_DATA!H$2:H$5000)</f>
        <v>1496</v>
      </c>
      <c r="L25" s="11" t="n">
        <f aca="false">SUMPRODUCT((RAW_DATA!B$2:B$5000=B25)*(RAW_DATA!C$2:C$5000=A25)*(RAW_DATA!E$2:E$5000="Shopping")*RAW_DATA!H$2:H$5000)</f>
        <v>2244</v>
      </c>
      <c r="M25" s="11" t="n">
        <f aca="false">SUMPRODUCT((RAW_DATA!B$2:B$5000=B25)*(RAW_DATA!C$2:C$5000=A25)*(RAW_DATA!E$2:E$5000="Entertainment")*RAW_DATA!H$2:H$5000)</f>
        <v>888</v>
      </c>
      <c r="N25" s="11" t="n">
        <f aca="false">SUMPRODUCT((RAW_DATA!B$2:B$5000=B25)*(RAW_DATA!C$2:C$5000=A25)*(RAW_DATA!E$2:E$5000="Education")*RAW_DATA!H$2:H$5000)</f>
        <v>2338</v>
      </c>
      <c r="O25" s="11" t="n">
        <f aca="false">SUMPRODUCT((RAW_DATA!B$2:B$5000=B25)*(RAW_DATA!C$2:C$5000=A25)*(RAW_DATA!E$2:E$5000="Others")*RAW_DATA!H$2:H$5000)</f>
        <v>727</v>
      </c>
      <c r="P25" s="11" t="n">
        <f aca="false">P24+E25+F25</f>
        <v>1246154</v>
      </c>
    </row>
    <row r="26" customFormat="false" ht="15" hidden="false" customHeight="true" outlineLevel="0" collapsed="false">
      <c r="A26" s="13" t="n">
        <v>2024</v>
      </c>
      <c r="B26" s="13" t="s">
        <v>216</v>
      </c>
      <c r="C26" s="14" t="n">
        <f aca="false">SUMPRODUCT((RAW_DATA!B$2:B$5000=B26)*(RAW_DATA!C$2:C$5000=A26)*(RAW_DATA!D$2:D$5000="Income")*RAW_DATA!H$2:H$5000)</f>
        <v>65000</v>
      </c>
      <c r="D26" s="14" t="n">
        <f aca="false">SUMPRODUCT((RAW_DATA!B$2:B$5000=B26)*(RAW_DATA!C$2:C$5000=A26)*(RAW_DATA!D$2:D$5000="Expense")*RAW_DATA!H$2:H$5000)</f>
        <v>18370</v>
      </c>
      <c r="E26" s="14" t="n">
        <f aca="false">SUMPRODUCT((RAW_DATA!B$2:B$5000=B26)*(RAW_DATA!C$2:C$5000=A26)*(RAW_DATA!D$2:D$5000="Savings")*RAW_DATA!H$2:H$5000)</f>
        <v>15000</v>
      </c>
      <c r="F26" s="14" t="n">
        <f aca="false">C26-D26-E26</f>
        <v>31630</v>
      </c>
      <c r="G26" s="15" t="n">
        <f aca="false">IF(C26&gt;0,(E26+F26)/C26,0)</f>
        <v>0.717384615384615</v>
      </c>
      <c r="H26" s="14" t="n">
        <f aca="false">SUMPRODUCT((RAW_DATA!B$2:B$5000=B26)*(RAW_DATA!C$2:C$5000=A26)*(RAW_DATA!E$2:E$5000="Housing")*RAW_DATA!H$2:H$5000)</f>
        <v>14041</v>
      </c>
      <c r="I26" s="14" t="n">
        <f aca="false">SUMPRODUCT((RAW_DATA!B$2:B$5000=B26)*(RAW_DATA!C$2:C$5000=A26)*(RAW_DATA!E$2:E$5000="Food")*RAW_DATA!H$2:H$5000)</f>
        <v>0</v>
      </c>
      <c r="J26" s="14" t="n">
        <f aca="false">SUMPRODUCT((RAW_DATA!B$2:B$5000=B26)*(RAW_DATA!C$2:C$5000=A26)*(RAW_DATA!E$2:E$5000="Transport")*RAW_DATA!H$2:H$5000)</f>
        <v>0</v>
      </c>
      <c r="K26" s="14" t="n">
        <f aca="false">SUMPRODUCT((RAW_DATA!B$2:B$5000=B26)*(RAW_DATA!C$2:C$5000=A26)*(RAW_DATA!E$2:E$5000="Health")*RAW_DATA!H$2:H$5000)</f>
        <v>1475</v>
      </c>
      <c r="L26" s="14" t="n">
        <f aca="false">SUMPRODUCT((RAW_DATA!B$2:B$5000=B26)*(RAW_DATA!C$2:C$5000=A26)*(RAW_DATA!E$2:E$5000="Shopping")*RAW_DATA!H$2:H$5000)</f>
        <v>2854</v>
      </c>
      <c r="M26" s="14" t="n">
        <f aca="false">SUMPRODUCT((RAW_DATA!B$2:B$5000=B26)*(RAW_DATA!C$2:C$5000=A26)*(RAW_DATA!E$2:E$5000="Entertainment")*RAW_DATA!H$2:H$5000)</f>
        <v>0</v>
      </c>
      <c r="N26" s="14" t="n">
        <f aca="false">SUMPRODUCT((RAW_DATA!B$2:B$5000=B26)*(RAW_DATA!C$2:C$5000=A26)*(RAW_DATA!E$2:E$5000="Education")*RAW_DATA!H$2:H$5000)</f>
        <v>0</v>
      </c>
      <c r="O26" s="14" t="n">
        <f aca="false">SUMPRODUCT((RAW_DATA!B$2:B$5000=B26)*(RAW_DATA!C$2:C$5000=A26)*(RAW_DATA!E$2:E$5000="Others")*RAW_DATA!H$2:H$5000)</f>
        <v>0</v>
      </c>
      <c r="P26" s="14" t="n">
        <f aca="false">P25+E26+F26</f>
        <v>1292784</v>
      </c>
    </row>
  </sheetData>
  <mergeCells count="1">
    <mergeCell ref="A1:P1"/>
  </mergeCells>
  <conditionalFormatting sqref="G3:G26">
    <cfRule type="colorScale" priority="2">
      <colorScale>
        <cfvo type="num" val="0"/>
        <cfvo type="num" val="0.2"/>
        <cfvo type="num" val="0.4"/>
        <color rgb="FFE74C3C"/>
        <color rgb="FFF39C12"/>
        <color rgb="FF27AE60"/>
      </colorScale>
    </cfRule>
  </conditionalFormatting>
  <conditionalFormatting sqref="F3:F26"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6" min="4" style="1" width="14"/>
    <col collapsed="false" customWidth="true" hidden="false" outlineLevel="0" max="8" min="7" style="1" width="18"/>
  </cols>
  <sheetData>
    <row r="1" customFormat="false" ht="30" hidden="false" customHeight="true" outlineLevel="0" collapsed="false">
      <c r="A1" s="9" t="s">
        <v>400</v>
      </c>
      <c r="B1" s="9"/>
      <c r="C1" s="9"/>
      <c r="D1" s="9"/>
      <c r="E1" s="9"/>
      <c r="F1" s="9"/>
      <c r="G1" s="9"/>
      <c r="H1" s="9"/>
    </row>
    <row r="2" customFormat="false" ht="23.25" hidden="false" customHeight="true" outlineLevel="0" collapsed="false">
      <c r="A2" s="16" t="s">
        <v>2</v>
      </c>
      <c r="B2" s="16" t="s">
        <v>394</v>
      </c>
      <c r="C2" s="16" t="s">
        <v>395</v>
      </c>
      <c r="D2" s="16" t="s">
        <v>396</v>
      </c>
      <c r="E2" s="16" t="s">
        <v>397</v>
      </c>
      <c r="F2" s="16" t="s">
        <v>398</v>
      </c>
      <c r="G2" s="16" t="s">
        <v>401</v>
      </c>
      <c r="H2" s="16" t="s">
        <v>402</v>
      </c>
    </row>
    <row r="3" customFormat="false" ht="15" hidden="false" customHeight="true" outlineLevel="0" collapsed="false">
      <c r="A3" s="17" t="n">
        <v>2023</v>
      </c>
      <c r="B3" s="11" t="n">
        <f aca="false">SUMPRODUCT((MONTHLY_SUMMARY!A$3:A$30=A3)*MONTHLY_SUMMARY!C$3:C$30)</f>
        <v>870056</v>
      </c>
      <c r="C3" s="11" t="n">
        <f aca="false">SUMPRODUCT((MONTHLY_SUMMARY!A$3:A$30=A3)*MONTHLY_SUMMARY!D$3:D$30)</f>
        <v>203640</v>
      </c>
      <c r="D3" s="11" t="n">
        <f aca="false">SUMPRODUCT((MONTHLY_SUMMARY!A$3:A$30=A3)*MONTHLY_SUMMARY!E$3:E$30)</f>
        <v>140000</v>
      </c>
      <c r="E3" s="11" t="n">
        <f aca="false">B3-C3-D3</f>
        <v>526416</v>
      </c>
      <c r="F3" s="12" t="n">
        <f aca="false">IF(B3&gt;0,(D3+E3)/B3,0)</f>
        <v>0.765946100021148</v>
      </c>
      <c r="G3" s="12" t="s">
        <v>403</v>
      </c>
      <c r="H3" s="12" t="s">
        <v>403</v>
      </c>
    </row>
    <row r="4" customFormat="false" ht="15" hidden="false" customHeight="true" outlineLevel="0" collapsed="false">
      <c r="A4" s="18" t="n">
        <v>2024</v>
      </c>
      <c r="B4" s="14" t="n">
        <f aca="false">SUMPRODUCT((MONTHLY_SUMMARY!A$3:A$30=A4)*MONTHLY_SUMMARY!C$3:C$30)</f>
        <v>833837</v>
      </c>
      <c r="C4" s="14" t="n">
        <f aca="false">SUMPRODUCT((MONTHLY_SUMMARY!A$3:A$30=A4)*MONTHLY_SUMMARY!D$3:D$30)</f>
        <v>207469</v>
      </c>
      <c r="D4" s="14" t="n">
        <f aca="false">SUMPRODUCT((MONTHLY_SUMMARY!A$3:A$30=A4)*MONTHLY_SUMMARY!E$3:E$30)</f>
        <v>140000</v>
      </c>
      <c r="E4" s="14" t="n">
        <f aca="false">B4-C4-D4</f>
        <v>486368</v>
      </c>
      <c r="F4" s="15" t="n">
        <f aca="false">IF(B4&gt;0,(D4+E4)/B4,0)</f>
        <v>0.751187582225303</v>
      </c>
      <c r="G4" s="15" t="n">
        <f aca="false">IF(B3&gt;0,(B4-B3)/B3,0)</f>
        <v>-0.0416283549564626</v>
      </c>
      <c r="H4" s="15" t="n">
        <f aca="false">IF(C3&gt;0,(C4-C3)/C3,0)</f>
        <v>0.0188027892359065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1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30" hidden="false" customHeight="true" outlineLevel="0" collapsed="false">
      <c r="A1" s="9" t="s">
        <v>404</v>
      </c>
      <c r="B1" s="9"/>
      <c r="C1" s="9"/>
      <c r="D1" s="9"/>
      <c r="E1" s="9"/>
      <c r="F1" s="9"/>
    </row>
    <row r="3" customFormat="false" ht="15" hidden="false" customHeight="true" outlineLevel="0" collapsed="false">
      <c r="A3" s="19" t="s">
        <v>405</v>
      </c>
      <c r="B3" s="20" t="n">
        <v>2024</v>
      </c>
    </row>
    <row r="5" customFormat="false" ht="15" hidden="false" customHeight="true" outlineLevel="0" collapsed="false">
      <c r="A5" s="16" t="s">
        <v>4</v>
      </c>
      <c r="B5" s="16" t="s">
        <v>406</v>
      </c>
      <c r="C5" s="16" t="s">
        <v>407</v>
      </c>
      <c r="D5" s="16" t="s">
        <v>408</v>
      </c>
      <c r="E5" s="16" t="s">
        <v>409</v>
      </c>
      <c r="F5" s="16" t="s">
        <v>410</v>
      </c>
    </row>
    <row r="6" customFormat="false" ht="15" hidden="false" customHeight="true" outlineLevel="0" collapsed="false">
      <c r="A6" s="21" t="s">
        <v>29</v>
      </c>
      <c r="B6" s="14" t="n">
        <f aca="false">SUMPRODUCT((RAW_DATA!C$2:C$5000=2023)*(RAW_DATA!D$2:D$5000="Expense")*(RAW_DATA!E$2:E$5000=A6)*RAW_DATA!H$2:H$5000)</f>
        <v>98371</v>
      </c>
      <c r="C6" s="14" t="n">
        <f aca="false">SUMPRODUCT((RAW_DATA!C$2:C$5000=2024)*(RAW_DATA!D$2:D$5000="Expense")*(RAW_DATA!E$2:E$5000=A6)*RAW_DATA!H$2:H$5000)</f>
        <v>92061</v>
      </c>
      <c r="D6" s="14" t="n">
        <f aca="false">C6-B6</f>
        <v>-6310</v>
      </c>
      <c r="E6" s="15" t="n">
        <f aca="false">IF(B6&gt;0,(C6-B6)/B6,0)</f>
        <v>-0.0641449207591668</v>
      </c>
      <c r="F6" s="15" t="n">
        <f aca="false">IF(SUM(C$6:C$13)&gt;0,C6/SUM(C$6:C$13),0)</f>
        <v>0.443733762634418</v>
      </c>
    </row>
    <row r="7" customFormat="false" ht="15" hidden="false" customHeight="true" outlineLevel="0" collapsed="false">
      <c r="A7" s="6" t="s">
        <v>33</v>
      </c>
      <c r="B7" s="11" t="n">
        <f aca="false">SUMPRODUCT((RAW_DATA!C$2:C$5000=2023)*(RAW_DATA!D$2:D$5000="Expense")*(RAW_DATA!E$2:E$5000=A7)*RAW_DATA!H$2:H$5000)</f>
        <v>34619</v>
      </c>
      <c r="C7" s="11" t="n">
        <f aca="false">SUMPRODUCT((RAW_DATA!C$2:C$5000=2024)*(RAW_DATA!D$2:D$5000="Expense")*(RAW_DATA!E$2:E$5000=A7)*RAW_DATA!H$2:H$5000)</f>
        <v>34244</v>
      </c>
      <c r="D7" s="11" t="n">
        <f aca="false">C7-B7</f>
        <v>-375</v>
      </c>
      <c r="E7" s="12" t="n">
        <f aca="false">IF(B7&gt;0,(C7-B7)/B7,0)</f>
        <v>-0.0108322019700165</v>
      </c>
      <c r="F7" s="12" t="n">
        <f aca="false">IF(SUM(C$6:C$13)&gt;0,C7/SUM(C$6:C$13),0)</f>
        <v>0.165055984267529</v>
      </c>
    </row>
    <row r="8" customFormat="false" ht="15" hidden="false" customHeight="true" outlineLevel="0" collapsed="false">
      <c r="A8" s="21" t="s">
        <v>57</v>
      </c>
      <c r="B8" s="14" t="n">
        <f aca="false">SUMPRODUCT((RAW_DATA!C$2:C$5000=2023)*(RAW_DATA!D$2:D$5000="Expense")*(RAW_DATA!E$2:E$5000=A8)*RAW_DATA!H$2:H$5000)</f>
        <v>10280</v>
      </c>
      <c r="C8" s="14" t="n">
        <f aca="false">SUMPRODUCT((RAW_DATA!C$2:C$5000=2024)*(RAW_DATA!D$2:D$5000="Expense")*(RAW_DATA!E$2:E$5000=A8)*RAW_DATA!H$2:H$5000)</f>
        <v>14222</v>
      </c>
      <c r="D8" s="14" t="n">
        <f aca="false">C8-B8</f>
        <v>3942</v>
      </c>
      <c r="E8" s="15" t="n">
        <f aca="false">IF(B8&gt;0,(C8-B8)/B8,0)</f>
        <v>0.383463035019455</v>
      </c>
      <c r="F8" s="15" t="n">
        <f aca="false">IF(SUM(C$6:C$13)&gt;0,C8/SUM(C$6:C$13),0)</f>
        <v>0.0685500002409999</v>
      </c>
    </row>
    <row r="9" customFormat="false" ht="15" hidden="false" customHeight="true" outlineLevel="0" collapsed="false">
      <c r="A9" s="6" t="s">
        <v>179</v>
      </c>
      <c r="B9" s="11" t="n">
        <f aca="false">SUMPRODUCT((RAW_DATA!C$2:C$5000=2023)*(RAW_DATA!D$2:D$5000="Expense")*(RAW_DATA!E$2:E$5000=A9)*RAW_DATA!H$2:H$5000)</f>
        <v>5011</v>
      </c>
      <c r="C9" s="11" t="n">
        <f aca="false">SUMPRODUCT((RAW_DATA!C$2:C$5000=2024)*(RAW_DATA!D$2:D$5000="Expense")*(RAW_DATA!E$2:E$5000=A9)*RAW_DATA!H$2:H$5000)</f>
        <v>14002</v>
      </c>
      <c r="D9" s="11" t="n">
        <f aca="false">C9-B9</f>
        <v>8991</v>
      </c>
      <c r="E9" s="12" t="n">
        <f aca="false">IF(B9&gt;0,(C9-B9)/B9,0)</f>
        <v>1.7942526441828</v>
      </c>
      <c r="F9" s="12" t="n">
        <f aca="false">IF(SUM(C$6:C$13)&gt;0,C9/SUM(C$6:C$13),0)</f>
        <v>0.0674896008560315</v>
      </c>
    </row>
    <row r="10" customFormat="false" ht="15" hidden="false" customHeight="true" outlineLevel="0" collapsed="false">
      <c r="A10" s="21" t="s">
        <v>37</v>
      </c>
      <c r="B10" s="14" t="n">
        <f aca="false">SUMPRODUCT((RAW_DATA!C$2:C$5000=2023)*(RAW_DATA!D$2:D$5000="Expense")*(RAW_DATA!E$2:E$5000=A10)*RAW_DATA!H$2:H$5000)</f>
        <v>25042</v>
      </c>
      <c r="C10" s="14" t="n">
        <f aca="false">SUMPRODUCT((RAW_DATA!C$2:C$5000=2024)*(RAW_DATA!D$2:D$5000="Expense")*(RAW_DATA!E$2:E$5000=A10)*RAW_DATA!H$2:H$5000)</f>
        <v>22551</v>
      </c>
      <c r="D10" s="14" t="n">
        <f aca="false">C10-B10</f>
        <v>-2491</v>
      </c>
      <c r="E10" s="15" t="n">
        <f aca="false">IF(B10&gt;0,(C10-B10)/B10,0)</f>
        <v>-0.0994728855522722</v>
      </c>
      <c r="F10" s="15" t="n">
        <f aca="false">IF(SUM(C$6:C$13)&gt;0,C10/SUM(C$6:C$13),0)</f>
        <v>0.108695756956461</v>
      </c>
    </row>
    <row r="11" customFormat="false" ht="15" hidden="false" customHeight="true" outlineLevel="0" collapsed="false">
      <c r="A11" s="6" t="s">
        <v>40</v>
      </c>
      <c r="B11" s="11" t="n">
        <f aca="false">SUMPRODUCT((RAW_DATA!C$2:C$5000=2023)*(RAW_DATA!D$2:D$5000="Expense")*(RAW_DATA!E$2:E$5000=A11)*RAW_DATA!H$2:H$5000)</f>
        <v>8979</v>
      </c>
      <c r="C11" s="11" t="n">
        <f aca="false">SUMPRODUCT((RAW_DATA!C$2:C$5000=2024)*(RAW_DATA!D$2:D$5000="Expense")*(RAW_DATA!E$2:E$5000=A11)*RAW_DATA!H$2:H$5000)</f>
        <v>5875</v>
      </c>
      <c r="D11" s="11" t="n">
        <f aca="false">C11-B11</f>
        <v>-3104</v>
      </c>
      <c r="E11" s="12" t="n">
        <f aca="false">IF(B11&gt;0,(C11-B11)/B11,0)</f>
        <v>-0.345695511749638</v>
      </c>
      <c r="F11" s="12" t="n">
        <f aca="false">IF(SUM(C$6:C$13)&gt;0,C11/SUM(C$6:C$13),0)</f>
        <v>0.0283174835758595</v>
      </c>
    </row>
    <row r="12" customFormat="false" ht="15" hidden="false" customHeight="true" outlineLevel="0" collapsed="false">
      <c r="A12" s="21" t="s">
        <v>43</v>
      </c>
      <c r="B12" s="14" t="n">
        <f aca="false">SUMPRODUCT((RAW_DATA!C$2:C$5000=2023)*(RAW_DATA!D$2:D$5000="Expense")*(RAW_DATA!E$2:E$5000=A12)*RAW_DATA!H$2:H$5000)</f>
        <v>14959</v>
      </c>
      <c r="C12" s="14" t="n">
        <f aca="false">SUMPRODUCT((RAW_DATA!C$2:C$5000=2024)*(RAW_DATA!D$2:D$5000="Expense")*(RAW_DATA!E$2:E$5000=A12)*RAW_DATA!H$2:H$5000)</f>
        <v>17834</v>
      </c>
      <c r="D12" s="14" t="n">
        <f aca="false">C12-B12</f>
        <v>2875</v>
      </c>
      <c r="E12" s="15" t="n">
        <f aca="false">IF(B12&gt;0,(C12-B12)/B12,0)</f>
        <v>0.192191991443278</v>
      </c>
      <c r="F12" s="15" t="n">
        <f aca="false">IF(SUM(C$6:C$13)&gt;0,C12/SUM(C$6:C$13),0)</f>
        <v>0.0859598301432985</v>
      </c>
    </row>
    <row r="13" customFormat="false" ht="15" hidden="false" customHeight="true" outlineLevel="0" collapsed="false">
      <c r="A13" s="6" t="s">
        <v>101</v>
      </c>
      <c r="B13" s="11" t="n">
        <f aca="false">SUMPRODUCT((RAW_DATA!C$2:C$5000=2023)*(RAW_DATA!D$2:D$5000="Expense")*(RAW_DATA!E$2:E$5000=A13)*RAW_DATA!H$2:H$5000)</f>
        <v>6379</v>
      </c>
      <c r="C13" s="11" t="n">
        <f aca="false">SUMPRODUCT((RAW_DATA!C$2:C$5000=2024)*(RAW_DATA!D$2:D$5000="Expense")*(RAW_DATA!E$2:E$5000=A13)*RAW_DATA!H$2:H$5000)</f>
        <v>6680</v>
      </c>
      <c r="D13" s="11" t="n">
        <f aca="false">C13-B13</f>
        <v>301</v>
      </c>
      <c r="E13" s="12" t="n">
        <f aca="false">IF(B13&gt;0,(C13-B13)/B13,0)</f>
        <v>0.0471860793227779</v>
      </c>
      <c r="F13" s="12" t="n">
        <f aca="false">IF(SUM(C$6:C$13)&gt;0,C13/SUM(C$6:C$13),0)</f>
        <v>0.0321975813254028</v>
      </c>
    </row>
    <row r="14" customFormat="false" ht="15" hidden="false" customHeight="true" outlineLevel="0" collapsed="false">
      <c r="A14" s="22" t="s">
        <v>411</v>
      </c>
      <c r="B14" s="23" t="n">
        <f aca="false">SUM(B6:B13)</f>
        <v>203640</v>
      </c>
      <c r="C14" s="23" t="n">
        <f aca="false">SUM(C6:C13)</f>
        <v>207469</v>
      </c>
      <c r="D14" s="23" t="n">
        <f aca="false">C14-B14</f>
        <v>3829</v>
      </c>
      <c r="E14" s="24" t="n">
        <f aca="false">IF(B14&gt;0,(C14-B14)/B14,0)</f>
        <v>0.0188027892359065</v>
      </c>
      <c r="F14" s="24" t="n">
        <f aca="false">1</f>
        <v>1</v>
      </c>
    </row>
  </sheetData>
  <mergeCells count="1">
    <mergeCell ref="A1:F1"/>
  </mergeCells>
  <conditionalFormatting sqref="E6:E13">
    <cfRule type="colorScale" priority="2">
      <colorScale>
        <cfvo type="num" val="-0.2"/>
        <cfvo type="num" val="0"/>
        <cfvo type="num" val="0.3"/>
        <color rgb="FF27AE60"/>
        <color rgb="FFF7DC6F"/>
        <color rgb="FFE74C3C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"2023,2024"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G3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30" hidden="false" customHeight="true" outlineLevel="0" collapsed="false">
      <c r="A1" s="9" t="s">
        <v>412</v>
      </c>
      <c r="B1" s="9"/>
      <c r="C1" s="9"/>
      <c r="D1" s="9"/>
      <c r="E1" s="9"/>
      <c r="F1" s="9"/>
      <c r="G1" s="9"/>
    </row>
    <row r="3" customFormat="false" ht="15" hidden="false" customHeight="true" outlineLevel="0" collapsed="false">
      <c r="A3" s="25" t="s">
        <v>413</v>
      </c>
      <c r="B3" s="25"/>
      <c r="C3" s="25"/>
      <c r="D3" s="25"/>
      <c r="E3" s="25"/>
      <c r="F3" s="25"/>
      <c r="G3" s="25"/>
    </row>
    <row r="4" customFormat="false" ht="23.25" hidden="false" customHeight="true" outlineLevel="0" collapsed="false">
      <c r="A4" s="16" t="s">
        <v>414</v>
      </c>
      <c r="B4" s="16" t="s">
        <v>415</v>
      </c>
      <c r="C4" s="16" t="s">
        <v>416</v>
      </c>
      <c r="D4" s="16" t="s">
        <v>417</v>
      </c>
      <c r="E4" s="16" t="s">
        <v>418</v>
      </c>
      <c r="F4" s="16" t="s">
        <v>419</v>
      </c>
      <c r="G4" s="16" t="s">
        <v>420</v>
      </c>
    </row>
    <row r="5" customFormat="false" ht="15" hidden="false" customHeight="true" outlineLevel="0" collapsed="false">
      <c r="A5" s="6" t="s">
        <v>71</v>
      </c>
      <c r="B5" s="8" t="n">
        <v>300000</v>
      </c>
      <c r="C5" s="11" t="n">
        <f aca="false">SUMPRODUCT((RAW_DATA!F$2:F$5000="Emergency")*RAW_DATA!H$2:H$5000)</f>
        <v>0</v>
      </c>
      <c r="D5" s="11" t="n">
        <f aca="false">MAX(0,B5-C5)</f>
        <v>300000</v>
      </c>
      <c r="E5" s="12" t="n">
        <f aca="false">MIN(1,IF(B5&gt;0,C5/B5,0))</f>
        <v>0</v>
      </c>
      <c r="F5" s="17" t="str">
        <f aca="false">IF(E5&gt;=1,"✅ Complete",IF(E5&gt;=0.5,"🟡 On Track","🔴 Behind"))</f>
        <v>🔴 Behind</v>
      </c>
      <c r="G5" s="7" t="s">
        <v>421</v>
      </c>
    </row>
    <row r="6" customFormat="false" ht="15" hidden="false" customHeight="true" outlineLevel="0" collapsed="false">
      <c r="A6" s="21" t="s">
        <v>422</v>
      </c>
      <c r="B6" s="26" t="n">
        <v>150000</v>
      </c>
      <c r="C6" s="14" t="n">
        <f aca="false">SUMPRODUCT((RAW_DATA!F$2:F$5000="Goals")*RAW_DATA!H$2:H$5000)</f>
        <v>0</v>
      </c>
      <c r="D6" s="14" t="n">
        <f aca="false">MAX(0,B6-C6)</f>
        <v>150000</v>
      </c>
      <c r="E6" s="15" t="n">
        <f aca="false">MIN(1,IF(B6&gt;0,C6/B6,0))</f>
        <v>0</v>
      </c>
      <c r="F6" s="18" t="str">
        <f aca="false">IF(E6&gt;=1,"✅ Complete",IF(E6&gt;=0.5,"🟡 On Track","🔴 Behind"))</f>
        <v>🔴 Behind</v>
      </c>
      <c r="G6" s="13" t="s">
        <v>423</v>
      </c>
    </row>
    <row r="7" customFormat="false" ht="15" hidden="false" customHeight="true" outlineLevel="0" collapsed="false">
      <c r="A7" s="6" t="s">
        <v>424</v>
      </c>
      <c r="B7" s="8" t="n">
        <v>80000</v>
      </c>
      <c r="C7" s="11" t="n">
        <f aca="false">SUMPRODUCT((RAW_DATA!F$2:F$5000="Goals")*RAW_DATA!H$2:H$5000)</f>
        <v>0</v>
      </c>
      <c r="D7" s="11" t="n">
        <f aca="false">MAX(0,B7-C7)</f>
        <v>80000</v>
      </c>
      <c r="E7" s="12" t="n">
        <f aca="false">MIN(1,IF(B7&gt;0,C7/B7,0))</f>
        <v>0</v>
      </c>
      <c r="F7" s="17" t="str">
        <f aca="false">IF(E7&gt;=1,"✅ Complete",IF(E7&gt;=0.5,"🟡 On Track","🔴 Behind"))</f>
        <v>🔴 Behind</v>
      </c>
      <c r="G7" s="7" t="s">
        <v>425</v>
      </c>
    </row>
    <row r="8" customFormat="false" ht="15" hidden="false" customHeight="true" outlineLevel="0" collapsed="false">
      <c r="A8" s="21" t="s">
        <v>426</v>
      </c>
      <c r="B8" s="26" t="n">
        <v>500000</v>
      </c>
      <c r="C8" s="14" t="n">
        <f aca="false">SUMPRODUCT((RAW_DATA!F$2:F$5000="Goals")*RAW_DATA!H$2:H$5000)</f>
        <v>0</v>
      </c>
      <c r="D8" s="14" t="n">
        <f aca="false">MAX(0,B8-C8)</f>
        <v>500000</v>
      </c>
      <c r="E8" s="15" t="n">
        <f aca="false">MIN(1,IF(B8&gt;0,C8/B8,0))</f>
        <v>0</v>
      </c>
      <c r="F8" s="18" t="str">
        <f aca="false">IF(E8&gt;=1,"✅ Complete",IF(E8&gt;=0.5,"🟡 On Track","🔴 Behind"))</f>
        <v>🔴 Behind</v>
      </c>
      <c r="G8" s="13" t="s">
        <v>427</v>
      </c>
    </row>
    <row r="11" customFormat="false" ht="15" hidden="false" customHeight="true" outlineLevel="0" collapsed="false">
      <c r="A11" s="25" t="s">
        <v>428</v>
      </c>
      <c r="B11" s="25"/>
      <c r="C11" s="25"/>
      <c r="D11" s="25"/>
      <c r="E11" s="25"/>
      <c r="F11" s="25"/>
      <c r="G11" s="25"/>
    </row>
    <row r="12" customFormat="false" ht="23.25" hidden="false" customHeight="true" outlineLevel="0" collapsed="false">
      <c r="A12" s="16" t="s">
        <v>1</v>
      </c>
      <c r="B12" s="16" t="s">
        <v>2</v>
      </c>
      <c r="C12" s="16" t="s">
        <v>24</v>
      </c>
      <c r="D12" s="16" t="s">
        <v>71</v>
      </c>
      <c r="E12" s="16" t="s">
        <v>429</v>
      </c>
      <c r="F12" s="16" t="s">
        <v>396</v>
      </c>
      <c r="G12" s="16" t="s">
        <v>430</v>
      </c>
    </row>
    <row r="13" customFormat="false" ht="15" hidden="false" customHeight="true" outlineLevel="0" collapsed="false">
      <c r="A13" s="17" t="s">
        <v>11</v>
      </c>
      <c r="B13" s="17" t="n">
        <v>2023</v>
      </c>
      <c r="C13" s="11" t="n">
        <f aca="false">SUMPRODUCT((RAW_DATA!B$2:B$5000=A13)*(RAW_DATA!C$2:C$5000=B13)*(RAW_DATA!F$2:F$5000="Mutual Fund SIP")*RAW_DATA!H$2:H$5000)</f>
        <v>10000</v>
      </c>
      <c r="D13" s="11" t="n">
        <f aca="false">SUMPRODUCT((RAW_DATA!B$2:B$5000=A13)*(RAW_DATA!C$2:C$5000=B13)*(RAW_DATA!F$2:F$5000="Emergency Fund")*RAW_DATA!H$2:H$5000)</f>
        <v>0</v>
      </c>
      <c r="E13" s="11" t="n">
        <f aca="false">SUMPRODUCT((RAW_DATA!B$2:B$5000=A13)*(RAW_DATA!C$2:C$5000=B13)*(RAW_DATA!D$2:D$5000="Savings")*RAW_DATA!H$2:H$5000)-C13-D13</f>
        <v>0</v>
      </c>
      <c r="F13" s="11" t="n">
        <f aca="false">C13+D13+E13</f>
        <v>10000</v>
      </c>
      <c r="G13" s="12" t="n">
        <f aca="false">IFERROR(F13/SUMPRODUCT((RAW_DATA!B$2:B$5000=A13)*(RAW_DATA!C$2:C$5000=B13)*(RAW_DATA!D$2:D$5000="Income")*RAW_DATA!H$2:H$5000),0)</f>
        <v>0.142027297646608</v>
      </c>
    </row>
    <row r="14" customFormat="false" ht="15" hidden="false" customHeight="true" outlineLevel="0" collapsed="false">
      <c r="A14" s="18" t="s">
        <v>48</v>
      </c>
      <c r="B14" s="18" t="n">
        <v>2023</v>
      </c>
      <c r="C14" s="14" t="n">
        <f aca="false">SUMPRODUCT((RAW_DATA!B$2:B$5000=A14)*(RAW_DATA!C$2:C$5000=B14)*(RAW_DATA!F$2:F$5000="Mutual Fund SIP")*RAW_DATA!H$2:H$5000)</f>
        <v>10000</v>
      </c>
      <c r="D14" s="14" t="n">
        <f aca="false">SUMPRODUCT((RAW_DATA!B$2:B$5000=A14)*(RAW_DATA!C$2:C$5000=B14)*(RAW_DATA!F$2:F$5000="Emergency Fund")*RAW_DATA!H$2:H$5000)</f>
        <v>0</v>
      </c>
      <c r="E14" s="14" t="n">
        <f aca="false">SUMPRODUCT((RAW_DATA!B$2:B$5000=A14)*(RAW_DATA!C$2:C$5000=B14)*(RAW_DATA!D$2:D$5000="Savings")*RAW_DATA!H$2:H$5000)-C14-D14</f>
        <v>0</v>
      </c>
      <c r="F14" s="14" t="n">
        <f aca="false">C14+D14+E14</f>
        <v>10000</v>
      </c>
      <c r="G14" s="15" t="n">
        <f aca="false">IFERROR(F14/SUMPRODUCT((RAW_DATA!B$2:B$5000=A14)*(RAW_DATA!C$2:C$5000=B14)*(RAW_DATA!D$2:D$5000="Income")*RAW_DATA!H$2:H$5000),0)</f>
        <v>0.153846153846154</v>
      </c>
    </row>
    <row r="15" customFormat="false" ht="15" hidden="false" customHeight="true" outlineLevel="0" collapsed="false">
      <c r="A15" s="17" t="s">
        <v>63</v>
      </c>
      <c r="B15" s="17" t="n">
        <v>2023</v>
      </c>
      <c r="C15" s="11" t="n">
        <f aca="false">SUMPRODUCT((RAW_DATA!B$2:B$5000=A15)*(RAW_DATA!C$2:C$5000=B15)*(RAW_DATA!F$2:F$5000="Mutual Fund SIP")*RAW_DATA!H$2:H$5000)</f>
        <v>10000</v>
      </c>
      <c r="D15" s="11" t="n">
        <f aca="false">SUMPRODUCT((RAW_DATA!B$2:B$5000=A15)*(RAW_DATA!C$2:C$5000=B15)*(RAW_DATA!F$2:F$5000="Emergency Fund")*RAW_DATA!H$2:H$5000)</f>
        <v>5000</v>
      </c>
      <c r="E15" s="11" t="n">
        <f aca="false">SUMPRODUCT((RAW_DATA!B$2:B$5000=A15)*(RAW_DATA!C$2:C$5000=B15)*(RAW_DATA!D$2:D$5000="Savings")*RAW_DATA!H$2:H$5000)-C15-D15</f>
        <v>0</v>
      </c>
      <c r="F15" s="11" t="n">
        <f aca="false">C15+D15+E15</f>
        <v>15000</v>
      </c>
      <c r="G15" s="12" t="n">
        <f aca="false">IFERROR(F15/SUMPRODUCT((RAW_DATA!B$2:B$5000=A15)*(RAW_DATA!C$2:C$5000=B15)*(RAW_DATA!D$2:D$5000="Income")*RAW_DATA!H$2:H$5000),0)</f>
        <v>0.180807849471438</v>
      </c>
    </row>
    <row r="16" customFormat="false" ht="15" hidden="false" customHeight="true" outlineLevel="0" collapsed="false">
      <c r="A16" s="18" t="s">
        <v>85</v>
      </c>
      <c r="B16" s="18" t="n">
        <v>2023</v>
      </c>
      <c r="C16" s="14" t="n">
        <f aca="false">SUMPRODUCT((RAW_DATA!B$2:B$5000=A16)*(RAW_DATA!C$2:C$5000=B16)*(RAW_DATA!F$2:F$5000="Mutual Fund SIP")*RAW_DATA!H$2:H$5000)</f>
        <v>10000</v>
      </c>
      <c r="D16" s="14" t="n">
        <f aca="false">SUMPRODUCT((RAW_DATA!B$2:B$5000=A16)*(RAW_DATA!C$2:C$5000=B16)*(RAW_DATA!F$2:F$5000="Emergency Fund")*RAW_DATA!H$2:H$5000)</f>
        <v>0</v>
      </c>
      <c r="E16" s="14" t="n">
        <f aca="false">SUMPRODUCT((RAW_DATA!B$2:B$5000=A16)*(RAW_DATA!C$2:C$5000=B16)*(RAW_DATA!D$2:D$5000="Savings")*RAW_DATA!H$2:H$5000)-C16-D16</f>
        <v>0</v>
      </c>
      <c r="F16" s="14" t="n">
        <f aca="false">C16+D16+E16</f>
        <v>10000</v>
      </c>
      <c r="G16" s="15" t="n">
        <f aca="false">IFERROR(F16/SUMPRODUCT((RAW_DATA!B$2:B$5000=A16)*(RAW_DATA!C$2:C$5000=B16)*(RAW_DATA!D$2:D$5000="Income")*RAW_DATA!H$2:H$5000),0)</f>
        <v>0.153846153846154</v>
      </c>
    </row>
    <row r="17" customFormat="false" ht="15" hidden="false" customHeight="true" outlineLevel="0" collapsed="false">
      <c r="A17" s="17" t="s">
        <v>105</v>
      </c>
      <c r="B17" s="17" t="n">
        <v>2023</v>
      </c>
      <c r="C17" s="11" t="n">
        <f aca="false">SUMPRODUCT((RAW_DATA!B$2:B$5000=A17)*(RAW_DATA!C$2:C$5000=B17)*(RAW_DATA!F$2:F$5000="Mutual Fund SIP")*RAW_DATA!H$2:H$5000)</f>
        <v>10000</v>
      </c>
      <c r="D17" s="11" t="n">
        <f aca="false">SUMPRODUCT((RAW_DATA!B$2:B$5000=A17)*(RAW_DATA!C$2:C$5000=B17)*(RAW_DATA!F$2:F$5000="Emergency Fund")*RAW_DATA!H$2:H$5000)</f>
        <v>0</v>
      </c>
      <c r="E17" s="11" t="n">
        <f aca="false">SUMPRODUCT((RAW_DATA!B$2:B$5000=A17)*(RAW_DATA!C$2:C$5000=B17)*(RAW_DATA!D$2:D$5000="Savings")*RAW_DATA!H$2:H$5000)-C17-D17</f>
        <v>0</v>
      </c>
      <c r="F17" s="11" t="n">
        <f aca="false">C17+D17+E17</f>
        <v>10000</v>
      </c>
      <c r="G17" s="12" t="n">
        <f aca="false">IFERROR(F17/SUMPRODUCT((RAW_DATA!B$2:B$5000=A17)*(RAW_DATA!C$2:C$5000=B17)*(RAW_DATA!D$2:D$5000="Income")*RAW_DATA!H$2:H$5000),0)</f>
        <v>0.153846153846154</v>
      </c>
    </row>
    <row r="18" customFormat="false" ht="15" hidden="false" customHeight="true" outlineLevel="0" collapsed="false">
      <c r="A18" s="18" t="s">
        <v>123</v>
      </c>
      <c r="B18" s="18" t="n">
        <v>2023</v>
      </c>
      <c r="C18" s="14" t="n">
        <f aca="false">SUMPRODUCT((RAW_DATA!B$2:B$5000=A18)*(RAW_DATA!C$2:C$5000=B18)*(RAW_DATA!F$2:F$5000="Mutual Fund SIP")*RAW_DATA!H$2:H$5000)</f>
        <v>10000</v>
      </c>
      <c r="D18" s="14" t="n">
        <f aca="false">SUMPRODUCT((RAW_DATA!B$2:B$5000=A18)*(RAW_DATA!C$2:C$5000=B18)*(RAW_DATA!F$2:F$5000="Emergency Fund")*RAW_DATA!H$2:H$5000)</f>
        <v>5000</v>
      </c>
      <c r="E18" s="14" t="n">
        <f aca="false">SUMPRODUCT((RAW_DATA!B$2:B$5000=A18)*(RAW_DATA!C$2:C$5000=B18)*(RAW_DATA!D$2:D$5000="Savings")*RAW_DATA!H$2:H$5000)-C18-D18</f>
        <v>0</v>
      </c>
      <c r="F18" s="14" t="n">
        <f aca="false">C18+D18+E18</f>
        <v>15000</v>
      </c>
      <c r="G18" s="15" t="n">
        <f aca="false">IFERROR(F18/SUMPRODUCT((RAW_DATA!B$2:B$5000=A18)*(RAW_DATA!C$2:C$5000=B18)*(RAW_DATA!D$2:D$5000="Income")*RAW_DATA!H$2:H$5000),0)</f>
        <v>0.230769230769231</v>
      </c>
    </row>
    <row r="19" customFormat="false" ht="15" hidden="false" customHeight="true" outlineLevel="0" collapsed="false">
      <c r="A19" s="17" t="s">
        <v>139</v>
      </c>
      <c r="B19" s="17" t="n">
        <v>2023</v>
      </c>
      <c r="C19" s="11" t="n">
        <f aca="false">SUMPRODUCT((RAW_DATA!B$2:B$5000=A19)*(RAW_DATA!C$2:C$5000=B19)*(RAW_DATA!F$2:F$5000="Mutual Fund SIP")*RAW_DATA!H$2:H$5000)</f>
        <v>10000</v>
      </c>
      <c r="D19" s="11" t="n">
        <f aca="false">SUMPRODUCT((RAW_DATA!B$2:B$5000=A19)*(RAW_DATA!C$2:C$5000=B19)*(RAW_DATA!F$2:F$5000="Emergency Fund")*RAW_DATA!H$2:H$5000)</f>
        <v>0</v>
      </c>
      <c r="E19" s="11" t="n">
        <f aca="false">SUMPRODUCT((RAW_DATA!B$2:B$5000=A19)*(RAW_DATA!C$2:C$5000=B19)*(RAW_DATA!D$2:D$5000="Savings")*RAW_DATA!H$2:H$5000)-C19-D19</f>
        <v>0</v>
      </c>
      <c r="F19" s="11" t="n">
        <f aca="false">C19+D19+E19</f>
        <v>10000</v>
      </c>
      <c r="G19" s="12" t="n">
        <f aca="false">IFERROR(F19/SUMPRODUCT((RAW_DATA!B$2:B$5000=A19)*(RAW_DATA!C$2:C$5000=B19)*(RAW_DATA!D$2:D$5000="Income")*RAW_DATA!H$2:H$5000),0)</f>
        <v>0.130655761265793</v>
      </c>
    </row>
    <row r="20" customFormat="false" ht="15" hidden="false" customHeight="true" outlineLevel="0" collapsed="false">
      <c r="A20" s="18" t="s">
        <v>155</v>
      </c>
      <c r="B20" s="18" t="n">
        <v>2023</v>
      </c>
      <c r="C20" s="14" t="n">
        <f aca="false">SUMPRODUCT((RAW_DATA!B$2:B$5000=A20)*(RAW_DATA!C$2:C$5000=B20)*(RAW_DATA!F$2:F$5000="Mutual Fund SIP")*RAW_DATA!H$2:H$5000)</f>
        <v>10000</v>
      </c>
      <c r="D20" s="14" t="n">
        <f aca="false">SUMPRODUCT((RAW_DATA!B$2:B$5000=A20)*(RAW_DATA!C$2:C$5000=B20)*(RAW_DATA!F$2:F$5000="Emergency Fund")*RAW_DATA!H$2:H$5000)</f>
        <v>0</v>
      </c>
      <c r="E20" s="14" t="n">
        <f aca="false">SUMPRODUCT((RAW_DATA!B$2:B$5000=A20)*(RAW_DATA!C$2:C$5000=B20)*(RAW_DATA!D$2:D$5000="Savings")*RAW_DATA!H$2:H$5000)-C20-D20</f>
        <v>0</v>
      </c>
      <c r="F20" s="14" t="n">
        <f aca="false">C20+D20+E20</f>
        <v>10000</v>
      </c>
      <c r="G20" s="15" t="n">
        <f aca="false">IFERROR(F20/SUMPRODUCT((RAW_DATA!B$2:B$5000=A20)*(RAW_DATA!C$2:C$5000=B20)*(RAW_DATA!D$2:D$5000="Income")*RAW_DATA!H$2:H$5000),0)</f>
        <v>0.135169840905097</v>
      </c>
    </row>
    <row r="21" customFormat="false" ht="15" hidden="false" customHeight="true" outlineLevel="0" collapsed="false">
      <c r="A21" s="17" t="s">
        <v>170</v>
      </c>
      <c r="B21" s="17" t="n">
        <v>2023</v>
      </c>
      <c r="C21" s="11" t="n">
        <f aca="false">SUMPRODUCT((RAW_DATA!B$2:B$5000=A21)*(RAW_DATA!C$2:C$5000=B21)*(RAW_DATA!F$2:F$5000="Mutual Fund SIP")*RAW_DATA!H$2:H$5000)</f>
        <v>10000</v>
      </c>
      <c r="D21" s="11" t="n">
        <f aca="false">SUMPRODUCT((RAW_DATA!B$2:B$5000=A21)*(RAW_DATA!C$2:C$5000=B21)*(RAW_DATA!F$2:F$5000="Emergency Fund")*RAW_DATA!H$2:H$5000)</f>
        <v>5000</v>
      </c>
      <c r="E21" s="11" t="n">
        <f aca="false">SUMPRODUCT((RAW_DATA!B$2:B$5000=A21)*(RAW_DATA!C$2:C$5000=B21)*(RAW_DATA!D$2:D$5000="Savings")*RAW_DATA!H$2:H$5000)-C21-D21</f>
        <v>0</v>
      </c>
      <c r="F21" s="11" t="n">
        <f aca="false">C21+D21+E21</f>
        <v>15000</v>
      </c>
      <c r="G21" s="12" t="n">
        <f aca="false">IFERROR(F21/SUMPRODUCT((RAW_DATA!B$2:B$5000=A21)*(RAW_DATA!C$2:C$5000=B21)*(RAW_DATA!D$2:D$5000="Income")*RAW_DATA!H$2:H$5000),0)</f>
        <v>0.165958576739246</v>
      </c>
    </row>
    <row r="22" customFormat="false" ht="15" hidden="false" customHeight="true" outlineLevel="0" collapsed="false">
      <c r="A22" s="18" t="s">
        <v>188</v>
      </c>
      <c r="B22" s="18" t="n">
        <v>2023</v>
      </c>
      <c r="C22" s="14" t="n">
        <f aca="false">SUMPRODUCT((RAW_DATA!B$2:B$5000=A22)*(RAW_DATA!C$2:C$5000=B22)*(RAW_DATA!F$2:F$5000="Mutual Fund SIP")*RAW_DATA!H$2:H$5000)</f>
        <v>10000</v>
      </c>
      <c r="D22" s="14" t="n">
        <f aca="false">SUMPRODUCT((RAW_DATA!B$2:B$5000=A22)*(RAW_DATA!C$2:C$5000=B22)*(RAW_DATA!F$2:F$5000="Emergency Fund")*RAW_DATA!H$2:H$5000)</f>
        <v>0</v>
      </c>
      <c r="E22" s="14" t="n">
        <f aca="false">SUMPRODUCT((RAW_DATA!B$2:B$5000=A22)*(RAW_DATA!C$2:C$5000=B22)*(RAW_DATA!D$2:D$5000="Savings")*RAW_DATA!H$2:H$5000)-C22-D22</f>
        <v>0</v>
      </c>
      <c r="F22" s="14" t="n">
        <f aca="false">C22+D22+E22</f>
        <v>10000</v>
      </c>
      <c r="G22" s="15" t="n">
        <f aca="false">IFERROR(F22/SUMPRODUCT((RAW_DATA!B$2:B$5000=A22)*(RAW_DATA!C$2:C$5000=B22)*(RAW_DATA!D$2:D$5000="Income")*RAW_DATA!H$2:H$5000),0)</f>
        <v>0.127815128198574</v>
      </c>
    </row>
    <row r="23" customFormat="false" ht="15" hidden="false" customHeight="true" outlineLevel="0" collapsed="false">
      <c r="A23" s="17" t="s">
        <v>202</v>
      </c>
      <c r="B23" s="17" t="n">
        <v>2023</v>
      </c>
      <c r="C23" s="11" t="n">
        <f aca="false">SUMPRODUCT((RAW_DATA!B$2:B$5000=A23)*(RAW_DATA!C$2:C$5000=B23)*(RAW_DATA!F$2:F$5000="Mutual Fund SIP")*RAW_DATA!H$2:H$5000)</f>
        <v>10000</v>
      </c>
      <c r="D23" s="11" t="n">
        <f aca="false">SUMPRODUCT((RAW_DATA!B$2:B$5000=A23)*(RAW_DATA!C$2:C$5000=B23)*(RAW_DATA!F$2:F$5000="Emergency Fund")*RAW_DATA!H$2:H$5000)</f>
        <v>0</v>
      </c>
      <c r="E23" s="11" t="n">
        <f aca="false">SUMPRODUCT((RAW_DATA!B$2:B$5000=A23)*(RAW_DATA!C$2:C$5000=B23)*(RAW_DATA!D$2:D$5000="Savings")*RAW_DATA!H$2:H$5000)-C23-D23</f>
        <v>0</v>
      </c>
      <c r="F23" s="11" t="n">
        <f aca="false">C23+D23+E23</f>
        <v>10000</v>
      </c>
      <c r="G23" s="12" t="n">
        <f aca="false">IFERROR(F23/SUMPRODUCT((RAW_DATA!B$2:B$5000=A23)*(RAW_DATA!C$2:C$5000=B23)*(RAW_DATA!D$2:D$5000="Income")*RAW_DATA!H$2:H$5000),0)</f>
        <v>0.153846153846154</v>
      </c>
    </row>
    <row r="24" customFormat="false" ht="15" hidden="false" customHeight="true" outlineLevel="0" collapsed="false">
      <c r="A24" s="18" t="s">
        <v>216</v>
      </c>
      <c r="B24" s="18" t="n">
        <v>2023</v>
      </c>
      <c r="C24" s="14" t="n">
        <f aca="false">SUMPRODUCT((RAW_DATA!B$2:B$5000=A24)*(RAW_DATA!C$2:C$5000=B24)*(RAW_DATA!F$2:F$5000="Mutual Fund SIP")*RAW_DATA!H$2:H$5000)</f>
        <v>10000</v>
      </c>
      <c r="D24" s="14" t="n">
        <f aca="false">SUMPRODUCT((RAW_DATA!B$2:B$5000=A24)*(RAW_DATA!C$2:C$5000=B24)*(RAW_DATA!F$2:F$5000="Emergency Fund")*RAW_DATA!H$2:H$5000)</f>
        <v>5000</v>
      </c>
      <c r="E24" s="14" t="n">
        <f aca="false">SUMPRODUCT((RAW_DATA!B$2:B$5000=A24)*(RAW_DATA!C$2:C$5000=B24)*(RAW_DATA!D$2:D$5000="Savings")*RAW_DATA!H$2:H$5000)-C24-D24</f>
        <v>0</v>
      </c>
      <c r="F24" s="14" t="n">
        <f aca="false">C24+D24+E24</f>
        <v>15000</v>
      </c>
      <c r="G24" s="15" t="n">
        <f aca="false">IFERROR(F24/SUMPRODUCT((RAW_DATA!B$2:B$5000=A24)*(RAW_DATA!C$2:C$5000=B24)*(RAW_DATA!D$2:D$5000="Income")*RAW_DATA!H$2:H$5000),0)</f>
        <v>0.206765362666446</v>
      </c>
    </row>
    <row r="25" customFormat="false" ht="15" hidden="false" customHeight="true" outlineLevel="0" collapsed="false">
      <c r="A25" s="17" t="s">
        <v>11</v>
      </c>
      <c r="B25" s="17" t="n">
        <v>2024</v>
      </c>
      <c r="C25" s="11" t="n">
        <f aca="false">SUMPRODUCT((RAW_DATA!B$2:B$5000=A25)*(RAW_DATA!C$2:C$5000=B25)*(RAW_DATA!F$2:F$5000="Mutual Fund SIP")*RAW_DATA!H$2:H$5000)</f>
        <v>10000</v>
      </c>
      <c r="D25" s="11" t="n">
        <f aca="false">SUMPRODUCT((RAW_DATA!B$2:B$5000=A25)*(RAW_DATA!C$2:C$5000=B25)*(RAW_DATA!F$2:F$5000="Emergency Fund")*RAW_DATA!H$2:H$5000)</f>
        <v>0</v>
      </c>
      <c r="E25" s="11" t="n">
        <f aca="false">SUMPRODUCT((RAW_DATA!B$2:B$5000=A25)*(RAW_DATA!C$2:C$5000=B25)*(RAW_DATA!D$2:D$5000="Savings")*RAW_DATA!H$2:H$5000)-C25-D25</f>
        <v>0</v>
      </c>
      <c r="F25" s="11" t="n">
        <f aca="false">C25+D25+E25</f>
        <v>10000</v>
      </c>
      <c r="G25" s="12" t="n">
        <f aca="false">IFERROR(F25/SUMPRODUCT((RAW_DATA!B$2:B$5000=A25)*(RAW_DATA!C$2:C$5000=B25)*(RAW_DATA!D$2:D$5000="Income")*RAW_DATA!H$2:H$5000),0)</f>
        <v>0.138071963107171</v>
      </c>
    </row>
    <row r="26" customFormat="false" ht="15" hidden="false" customHeight="true" outlineLevel="0" collapsed="false">
      <c r="A26" s="18" t="s">
        <v>48</v>
      </c>
      <c r="B26" s="18" t="n">
        <v>2024</v>
      </c>
      <c r="C26" s="14" t="n">
        <f aca="false">SUMPRODUCT((RAW_DATA!B$2:B$5000=A26)*(RAW_DATA!C$2:C$5000=B26)*(RAW_DATA!F$2:F$5000="Mutual Fund SIP")*RAW_DATA!H$2:H$5000)</f>
        <v>10000</v>
      </c>
      <c r="D26" s="14" t="n">
        <f aca="false">SUMPRODUCT((RAW_DATA!B$2:B$5000=A26)*(RAW_DATA!C$2:C$5000=B26)*(RAW_DATA!F$2:F$5000="Emergency Fund")*RAW_DATA!H$2:H$5000)</f>
        <v>0</v>
      </c>
      <c r="E26" s="14" t="n">
        <f aca="false">SUMPRODUCT((RAW_DATA!B$2:B$5000=A26)*(RAW_DATA!C$2:C$5000=B26)*(RAW_DATA!D$2:D$5000="Savings")*RAW_DATA!H$2:H$5000)-C26-D26</f>
        <v>0</v>
      </c>
      <c r="F26" s="14" t="n">
        <f aca="false">C26+D26+E26</f>
        <v>10000</v>
      </c>
      <c r="G26" s="15" t="n">
        <f aca="false">IFERROR(F26/SUMPRODUCT((RAW_DATA!B$2:B$5000=A26)*(RAW_DATA!C$2:C$5000=B26)*(RAW_DATA!D$2:D$5000="Income")*RAW_DATA!H$2:H$5000),0)</f>
        <v>0.153846153846154</v>
      </c>
    </row>
    <row r="27" customFormat="false" ht="15" hidden="false" customHeight="true" outlineLevel="0" collapsed="false">
      <c r="A27" s="17" t="s">
        <v>63</v>
      </c>
      <c r="B27" s="17" t="n">
        <v>2024</v>
      </c>
      <c r="C27" s="11" t="n">
        <f aca="false">SUMPRODUCT((RAW_DATA!B$2:B$5000=A27)*(RAW_DATA!C$2:C$5000=B27)*(RAW_DATA!F$2:F$5000="Mutual Fund SIP")*RAW_DATA!H$2:H$5000)</f>
        <v>10000</v>
      </c>
      <c r="D27" s="11" t="n">
        <f aca="false">SUMPRODUCT((RAW_DATA!B$2:B$5000=A27)*(RAW_DATA!C$2:C$5000=B27)*(RAW_DATA!F$2:F$5000="Emergency Fund")*RAW_DATA!H$2:H$5000)</f>
        <v>5000</v>
      </c>
      <c r="E27" s="11" t="n">
        <f aca="false">SUMPRODUCT((RAW_DATA!B$2:B$5000=A27)*(RAW_DATA!C$2:C$5000=B27)*(RAW_DATA!D$2:D$5000="Savings")*RAW_DATA!H$2:H$5000)-C27-D27</f>
        <v>0</v>
      </c>
      <c r="F27" s="11" t="n">
        <f aca="false">C27+D27+E27</f>
        <v>15000</v>
      </c>
      <c r="G27" s="12" t="n">
        <f aca="false">IFERROR(F27/SUMPRODUCT((RAW_DATA!B$2:B$5000=A27)*(RAW_DATA!C$2:C$5000=B27)*(RAW_DATA!D$2:D$5000="Income")*RAW_DATA!H$2:H$5000),0)</f>
        <v>0.195073737872916</v>
      </c>
    </row>
    <row r="28" customFormat="false" ht="15" hidden="false" customHeight="true" outlineLevel="0" collapsed="false">
      <c r="A28" s="18" t="s">
        <v>85</v>
      </c>
      <c r="B28" s="18" t="n">
        <v>2024</v>
      </c>
      <c r="C28" s="14" t="n">
        <f aca="false">SUMPRODUCT((RAW_DATA!B$2:B$5000=A28)*(RAW_DATA!C$2:C$5000=B28)*(RAW_DATA!F$2:F$5000="Mutual Fund SIP")*RAW_DATA!H$2:H$5000)</f>
        <v>10000</v>
      </c>
      <c r="D28" s="14" t="n">
        <f aca="false">SUMPRODUCT((RAW_DATA!B$2:B$5000=A28)*(RAW_DATA!C$2:C$5000=B28)*(RAW_DATA!F$2:F$5000="Emergency Fund")*RAW_DATA!H$2:H$5000)</f>
        <v>0</v>
      </c>
      <c r="E28" s="14" t="n">
        <f aca="false">SUMPRODUCT((RAW_DATA!B$2:B$5000=A28)*(RAW_DATA!C$2:C$5000=B28)*(RAW_DATA!D$2:D$5000="Savings")*RAW_DATA!H$2:H$5000)-C28-D28</f>
        <v>0</v>
      </c>
      <c r="F28" s="14" t="n">
        <f aca="false">C28+D28+E28</f>
        <v>10000</v>
      </c>
      <c r="G28" s="15" t="n">
        <f aca="false">IFERROR(F28/SUMPRODUCT((RAW_DATA!B$2:B$5000=A28)*(RAW_DATA!C$2:C$5000=B28)*(RAW_DATA!D$2:D$5000="Income")*RAW_DATA!H$2:H$5000),0)</f>
        <v>0.153846153846154</v>
      </c>
    </row>
    <row r="29" customFormat="false" ht="15" hidden="false" customHeight="true" outlineLevel="0" collapsed="false">
      <c r="A29" s="17" t="s">
        <v>105</v>
      </c>
      <c r="B29" s="17" t="n">
        <v>2024</v>
      </c>
      <c r="C29" s="11" t="n">
        <f aca="false">SUMPRODUCT((RAW_DATA!B$2:B$5000=A29)*(RAW_DATA!C$2:C$5000=B29)*(RAW_DATA!F$2:F$5000="Mutual Fund SIP")*RAW_DATA!H$2:H$5000)</f>
        <v>10000</v>
      </c>
      <c r="D29" s="11" t="n">
        <f aca="false">SUMPRODUCT((RAW_DATA!B$2:B$5000=A29)*(RAW_DATA!C$2:C$5000=B29)*(RAW_DATA!F$2:F$5000="Emergency Fund")*RAW_DATA!H$2:H$5000)</f>
        <v>0</v>
      </c>
      <c r="E29" s="11" t="n">
        <f aca="false">SUMPRODUCT((RAW_DATA!B$2:B$5000=A29)*(RAW_DATA!C$2:C$5000=B29)*(RAW_DATA!D$2:D$5000="Savings")*RAW_DATA!H$2:H$5000)-C29-D29</f>
        <v>0</v>
      </c>
      <c r="F29" s="11" t="n">
        <f aca="false">C29+D29+E29</f>
        <v>10000</v>
      </c>
      <c r="G29" s="12" t="n">
        <f aca="false">IFERROR(F29/SUMPRODUCT((RAW_DATA!B$2:B$5000=A29)*(RAW_DATA!C$2:C$5000=B29)*(RAW_DATA!D$2:D$5000="Income")*RAW_DATA!H$2:H$5000),0)</f>
        <v>0.153846153846154</v>
      </c>
    </row>
    <row r="30" customFormat="false" ht="15" hidden="false" customHeight="true" outlineLevel="0" collapsed="false">
      <c r="A30" s="18" t="s">
        <v>123</v>
      </c>
      <c r="B30" s="18" t="n">
        <v>2024</v>
      </c>
      <c r="C30" s="14" t="n">
        <f aca="false">SUMPRODUCT((RAW_DATA!B$2:B$5000=A30)*(RAW_DATA!C$2:C$5000=B30)*(RAW_DATA!F$2:F$5000="Mutual Fund SIP")*RAW_DATA!H$2:H$5000)</f>
        <v>10000</v>
      </c>
      <c r="D30" s="14" t="n">
        <f aca="false">SUMPRODUCT((RAW_DATA!B$2:B$5000=A30)*(RAW_DATA!C$2:C$5000=B30)*(RAW_DATA!F$2:F$5000="Emergency Fund")*RAW_DATA!H$2:H$5000)</f>
        <v>5000</v>
      </c>
      <c r="E30" s="14" t="n">
        <f aca="false">SUMPRODUCT((RAW_DATA!B$2:B$5000=A30)*(RAW_DATA!C$2:C$5000=B30)*(RAW_DATA!D$2:D$5000="Savings")*RAW_DATA!H$2:H$5000)-C30-D30</f>
        <v>0</v>
      </c>
      <c r="F30" s="14" t="n">
        <f aca="false">C30+D30+E30</f>
        <v>15000</v>
      </c>
      <c r="G30" s="15" t="n">
        <f aca="false">IFERROR(F30/SUMPRODUCT((RAW_DATA!B$2:B$5000=A30)*(RAW_DATA!C$2:C$5000=B30)*(RAW_DATA!D$2:D$5000="Income")*RAW_DATA!H$2:H$5000),0)</f>
        <v>0.230769230769231</v>
      </c>
    </row>
    <row r="31" customFormat="false" ht="15" hidden="false" customHeight="true" outlineLevel="0" collapsed="false">
      <c r="A31" s="17" t="s">
        <v>139</v>
      </c>
      <c r="B31" s="17" t="n">
        <v>2024</v>
      </c>
      <c r="C31" s="11" t="n">
        <f aca="false">SUMPRODUCT((RAW_DATA!B$2:B$5000=A31)*(RAW_DATA!C$2:C$5000=B31)*(RAW_DATA!F$2:F$5000="Mutual Fund SIP")*RAW_DATA!H$2:H$5000)</f>
        <v>10000</v>
      </c>
      <c r="D31" s="11" t="n">
        <f aca="false">SUMPRODUCT((RAW_DATA!B$2:B$5000=A31)*(RAW_DATA!C$2:C$5000=B31)*(RAW_DATA!F$2:F$5000="Emergency Fund")*RAW_DATA!H$2:H$5000)</f>
        <v>0</v>
      </c>
      <c r="E31" s="11" t="n">
        <f aca="false">SUMPRODUCT((RAW_DATA!B$2:B$5000=A31)*(RAW_DATA!C$2:C$5000=B31)*(RAW_DATA!D$2:D$5000="Savings")*RAW_DATA!H$2:H$5000)-C31-D31</f>
        <v>0</v>
      </c>
      <c r="F31" s="11" t="n">
        <f aca="false">C31+D31+E31</f>
        <v>10000</v>
      </c>
      <c r="G31" s="12" t="n">
        <f aca="false">IFERROR(F31/SUMPRODUCT((RAW_DATA!B$2:B$5000=A31)*(RAW_DATA!C$2:C$5000=B31)*(RAW_DATA!D$2:D$5000="Income")*RAW_DATA!H$2:H$5000),0)</f>
        <v>0.153846153846154</v>
      </c>
    </row>
    <row r="32" customFormat="false" ht="15" hidden="false" customHeight="true" outlineLevel="0" collapsed="false">
      <c r="A32" s="18" t="s">
        <v>155</v>
      </c>
      <c r="B32" s="18" t="n">
        <v>2024</v>
      </c>
      <c r="C32" s="14" t="n">
        <f aca="false">SUMPRODUCT((RAW_DATA!B$2:B$5000=A32)*(RAW_DATA!C$2:C$5000=B32)*(RAW_DATA!F$2:F$5000="Mutual Fund SIP")*RAW_DATA!H$2:H$5000)</f>
        <v>10000</v>
      </c>
      <c r="D32" s="14" t="n">
        <f aca="false">SUMPRODUCT((RAW_DATA!B$2:B$5000=A32)*(RAW_DATA!C$2:C$5000=B32)*(RAW_DATA!F$2:F$5000="Emergency Fund")*RAW_DATA!H$2:H$5000)</f>
        <v>0</v>
      </c>
      <c r="E32" s="14" t="n">
        <f aca="false">SUMPRODUCT((RAW_DATA!B$2:B$5000=A32)*(RAW_DATA!C$2:C$5000=B32)*(RAW_DATA!D$2:D$5000="Savings")*RAW_DATA!H$2:H$5000)-C32-D32</f>
        <v>0</v>
      </c>
      <c r="F32" s="14" t="n">
        <f aca="false">C32+D32+E32</f>
        <v>10000</v>
      </c>
      <c r="G32" s="15" t="n">
        <f aca="false">IFERROR(F32/SUMPRODUCT((RAW_DATA!B$2:B$5000=A32)*(RAW_DATA!C$2:C$5000=B32)*(RAW_DATA!D$2:D$5000="Income")*RAW_DATA!H$2:H$5000),0)</f>
        <v>0.153846153846154</v>
      </c>
    </row>
    <row r="33" customFormat="false" ht="15" hidden="false" customHeight="true" outlineLevel="0" collapsed="false">
      <c r="A33" s="17" t="s">
        <v>170</v>
      </c>
      <c r="B33" s="17" t="n">
        <v>2024</v>
      </c>
      <c r="C33" s="11" t="n">
        <f aca="false">SUMPRODUCT((RAW_DATA!B$2:B$5000=A33)*(RAW_DATA!C$2:C$5000=B33)*(RAW_DATA!F$2:F$5000="Mutual Fund SIP")*RAW_DATA!H$2:H$5000)</f>
        <v>10000</v>
      </c>
      <c r="D33" s="11" t="n">
        <f aca="false">SUMPRODUCT((RAW_DATA!B$2:B$5000=A33)*(RAW_DATA!C$2:C$5000=B33)*(RAW_DATA!F$2:F$5000="Emergency Fund")*RAW_DATA!H$2:H$5000)</f>
        <v>5000</v>
      </c>
      <c r="E33" s="11" t="n">
        <f aca="false">SUMPRODUCT((RAW_DATA!B$2:B$5000=A33)*(RAW_DATA!C$2:C$5000=B33)*(RAW_DATA!D$2:D$5000="Savings")*RAW_DATA!H$2:H$5000)-C33-D33</f>
        <v>0</v>
      </c>
      <c r="F33" s="11" t="n">
        <f aca="false">C33+D33+E33</f>
        <v>15000</v>
      </c>
      <c r="G33" s="12" t="n">
        <f aca="false">IFERROR(F33/SUMPRODUCT((RAW_DATA!B$2:B$5000=A33)*(RAW_DATA!C$2:C$5000=B33)*(RAW_DATA!D$2:D$5000="Income")*RAW_DATA!H$2:H$5000),0)</f>
        <v>0.178060564333282</v>
      </c>
    </row>
    <row r="34" customFormat="false" ht="15" hidden="false" customHeight="true" outlineLevel="0" collapsed="false">
      <c r="A34" s="18" t="s">
        <v>188</v>
      </c>
      <c r="B34" s="18" t="n">
        <v>2024</v>
      </c>
      <c r="C34" s="14" t="n">
        <f aca="false">SUMPRODUCT((RAW_DATA!B$2:B$5000=A34)*(RAW_DATA!C$2:C$5000=B34)*(RAW_DATA!F$2:F$5000="Mutual Fund SIP")*RAW_DATA!H$2:H$5000)</f>
        <v>10000</v>
      </c>
      <c r="D34" s="14" t="n">
        <f aca="false">SUMPRODUCT((RAW_DATA!B$2:B$5000=A34)*(RAW_DATA!C$2:C$5000=B34)*(RAW_DATA!F$2:F$5000="Emergency Fund")*RAW_DATA!H$2:H$5000)</f>
        <v>0</v>
      </c>
      <c r="E34" s="14" t="n">
        <f aca="false">SUMPRODUCT((RAW_DATA!B$2:B$5000=A34)*(RAW_DATA!C$2:C$5000=B34)*(RAW_DATA!D$2:D$5000="Savings")*RAW_DATA!H$2:H$5000)-C34-D34</f>
        <v>0</v>
      </c>
      <c r="F34" s="14" t="n">
        <f aca="false">C34+D34+E34</f>
        <v>10000</v>
      </c>
      <c r="G34" s="15" t="n">
        <f aca="false">IFERROR(F34/SUMPRODUCT((RAW_DATA!B$2:B$5000=A34)*(RAW_DATA!C$2:C$5000=B34)*(RAW_DATA!D$2:D$5000="Income")*RAW_DATA!H$2:H$5000),0)</f>
        <v>0.124570232697195</v>
      </c>
    </row>
    <row r="35" customFormat="false" ht="15" hidden="false" customHeight="true" outlineLevel="0" collapsed="false">
      <c r="A35" s="17" t="s">
        <v>202</v>
      </c>
      <c r="B35" s="17" t="n">
        <v>2024</v>
      </c>
      <c r="C35" s="11" t="n">
        <f aca="false">SUMPRODUCT((RAW_DATA!B$2:B$5000=A35)*(RAW_DATA!C$2:C$5000=B35)*(RAW_DATA!F$2:F$5000="Mutual Fund SIP")*RAW_DATA!H$2:H$5000)</f>
        <v>10000</v>
      </c>
      <c r="D35" s="11" t="n">
        <f aca="false">SUMPRODUCT((RAW_DATA!B$2:B$5000=A35)*(RAW_DATA!C$2:C$5000=B35)*(RAW_DATA!F$2:F$5000="Emergency Fund")*RAW_DATA!H$2:H$5000)</f>
        <v>0</v>
      </c>
      <c r="E35" s="11" t="n">
        <f aca="false">SUMPRODUCT((RAW_DATA!B$2:B$5000=A35)*(RAW_DATA!C$2:C$5000=B35)*(RAW_DATA!D$2:D$5000="Savings")*RAW_DATA!H$2:H$5000)-C35-D35</f>
        <v>0</v>
      </c>
      <c r="F35" s="11" t="n">
        <f aca="false">C35+D35+E35</f>
        <v>10000</v>
      </c>
      <c r="G35" s="12" t="n">
        <f aca="false">IFERROR(F35/SUMPRODUCT((RAW_DATA!B$2:B$5000=A35)*(RAW_DATA!C$2:C$5000=B35)*(RAW_DATA!D$2:D$5000="Income")*RAW_DATA!H$2:H$5000),0)</f>
        <v>0.153846153846154</v>
      </c>
    </row>
    <row r="36" customFormat="false" ht="15" hidden="false" customHeight="true" outlineLevel="0" collapsed="false">
      <c r="A36" s="18" t="s">
        <v>216</v>
      </c>
      <c r="B36" s="18" t="n">
        <v>2024</v>
      </c>
      <c r="C36" s="14" t="n">
        <f aca="false">SUMPRODUCT((RAW_DATA!B$2:B$5000=A36)*(RAW_DATA!C$2:C$5000=B36)*(RAW_DATA!F$2:F$5000="Mutual Fund SIP")*RAW_DATA!H$2:H$5000)</f>
        <v>10000</v>
      </c>
      <c r="D36" s="14" t="n">
        <f aca="false">SUMPRODUCT((RAW_DATA!B$2:B$5000=A36)*(RAW_DATA!C$2:C$5000=B36)*(RAW_DATA!F$2:F$5000="Emergency Fund")*RAW_DATA!H$2:H$5000)</f>
        <v>5000</v>
      </c>
      <c r="E36" s="14" t="n">
        <f aca="false">SUMPRODUCT((RAW_DATA!B$2:B$5000=A36)*(RAW_DATA!C$2:C$5000=B36)*(RAW_DATA!D$2:D$5000="Savings")*RAW_DATA!H$2:H$5000)-C36-D36</f>
        <v>0</v>
      </c>
      <c r="F36" s="14" t="n">
        <f aca="false">C36+D36+E36</f>
        <v>15000</v>
      </c>
      <c r="G36" s="15" t="n">
        <f aca="false">IFERROR(F36/SUMPRODUCT((RAW_DATA!B$2:B$5000=A36)*(RAW_DATA!C$2:C$5000=B36)*(RAW_DATA!D$2:D$5000="Income")*RAW_DATA!H$2:H$5000),0)</f>
        <v>0.230769230769231</v>
      </c>
    </row>
  </sheetData>
  <mergeCells count="3">
    <mergeCell ref="A1:G1"/>
    <mergeCell ref="A3:G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A3A"/>
    <pageSetUpPr fitToPage="false"/>
  </sheetPr>
  <dimension ref="B2:N4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5" min="2" style="1" width="13"/>
  </cols>
  <sheetData>
    <row r="2" customFormat="false" ht="36" hidden="false" customHeight="true" outlineLevel="0" collapsed="false">
      <c r="B2" s="27" t="s">
        <v>431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customFormat="false" ht="21.75" hidden="false" customHeight="true" outlineLevel="0" collapsed="false">
      <c r="B4" s="28" t="s">
        <v>432</v>
      </c>
      <c r="C4" s="28"/>
      <c r="E4" s="29" t="s">
        <v>433</v>
      </c>
      <c r="F4" s="29"/>
      <c r="H4" s="30" t="s">
        <v>434</v>
      </c>
      <c r="I4" s="30"/>
      <c r="K4" s="31" t="s">
        <v>435</v>
      </c>
      <c r="L4" s="31"/>
    </row>
    <row r="5" customFormat="false" ht="21.75" hidden="false" customHeight="true" outlineLevel="0" collapsed="false">
      <c r="B5" s="32" t="n">
        <f aca="false">ANNUAL_SUMMARY!B4</f>
        <v>833837</v>
      </c>
      <c r="C5" s="32"/>
      <c r="E5" s="33" t="n">
        <f aca="false">ANNUAL_SUMMARY!C4</f>
        <v>207469</v>
      </c>
      <c r="F5" s="33"/>
      <c r="H5" s="34" t="n">
        <f aca="false">ANNUAL_SUMMARY!D4</f>
        <v>140000</v>
      </c>
      <c r="I5" s="34"/>
      <c r="K5" s="35" t="n">
        <f aca="false">ANNUAL_SUMMARY!F4</f>
        <v>0.751187582225303</v>
      </c>
      <c r="L5" s="35"/>
    </row>
    <row r="6" customFormat="false" ht="21.75" hidden="false" customHeight="true" outlineLevel="0" collapsed="false">
      <c r="B6" s="36"/>
      <c r="C6" s="36"/>
      <c r="E6" s="37"/>
      <c r="F6" s="37"/>
      <c r="H6" s="38"/>
      <c r="I6" s="38"/>
      <c r="K6" s="39"/>
      <c r="L6" s="39"/>
    </row>
    <row r="7" customFormat="false" ht="21.75" hidden="false" customHeight="true" outlineLevel="0" collapsed="false">
      <c r="B7" s="36"/>
      <c r="C7" s="36"/>
      <c r="E7" s="37"/>
      <c r="F7" s="37"/>
      <c r="H7" s="38"/>
      <c r="I7" s="38"/>
      <c r="K7" s="39"/>
      <c r="L7" s="39"/>
    </row>
    <row r="9" customFormat="false" ht="21.75" hidden="false" customHeight="true" outlineLevel="0" collapsed="false">
      <c r="B9" s="40" t="s">
        <v>436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customFormat="false" ht="15" hidden="false" customHeight="true" outlineLevel="0" collapsed="false">
      <c r="B10" s="41" t="s">
        <v>1</v>
      </c>
      <c r="C10" s="41" t="s">
        <v>12</v>
      </c>
      <c r="D10" s="41" t="s">
        <v>28</v>
      </c>
      <c r="E10" s="41" t="s">
        <v>22</v>
      </c>
      <c r="F10" s="41" t="s">
        <v>430</v>
      </c>
    </row>
    <row r="11" customFormat="false" ht="15" hidden="false" customHeight="true" outlineLevel="0" collapsed="false">
      <c r="B11" s="42" t="s">
        <v>11</v>
      </c>
      <c r="C11" s="43" t="n">
        <f aca="false">SUMPRODUCT((MONTHLY_SUMMARY!B$3:B$30=B11)*(MONTHLY_SUMMARY!A$3:A$30=2024)*MONTHLY_SUMMARY!C$3:C$30)</f>
        <v>72426</v>
      </c>
      <c r="D11" s="43" t="n">
        <f aca="false">SUMPRODUCT((MONTHLY_SUMMARY!B$3:B$30=B11)*(MONTHLY_SUMMARY!A$3:A$30=2024)*MONTHLY_SUMMARY!D$3:D$30)</f>
        <v>23496</v>
      </c>
      <c r="E11" s="43" t="n">
        <f aca="false">SUMPRODUCT((MONTHLY_SUMMARY!B$3:B$30=B11)*(MONTHLY_SUMMARY!A$3:A$30=2024)*MONTHLY_SUMMARY!E$3:E$30)</f>
        <v>10000</v>
      </c>
      <c r="F11" s="44" t="n">
        <f aca="false">IF(C11&gt;0,E11/C11,0)</f>
        <v>0.138071963107171</v>
      </c>
    </row>
    <row r="12" customFormat="false" ht="15" hidden="false" customHeight="true" outlineLevel="0" collapsed="false">
      <c r="B12" s="42" t="s">
        <v>48</v>
      </c>
      <c r="C12" s="43" t="n">
        <f aca="false">SUMPRODUCT((MONTHLY_SUMMARY!B$3:B$30=B12)*(MONTHLY_SUMMARY!A$3:A$30=2024)*MONTHLY_SUMMARY!C$3:C$30)</f>
        <v>65000</v>
      </c>
      <c r="D12" s="43" t="n">
        <f aca="false">SUMPRODUCT((MONTHLY_SUMMARY!B$3:B$30=B12)*(MONTHLY_SUMMARY!A$3:A$30=2024)*MONTHLY_SUMMARY!D$3:D$30)</f>
        <v>18556</v>
      </c>
      <c r="E12" s="43" t="n">
        <f aca="false">SUMPRODUCT((MONTHLY_SUMMARY!B$3:B$30=B12)*(MONTHLY_SUMMARY!A$3:A$30=2024)*MONTHLY_SUMMARY!E$3:E$30)</f>
        <v>10000</v>
      </c>
      <c r="F12" s="44" t="n">
        <f aca="false">IF(C12&gt;0,E12/C12,0)</f>
        <v>0.153846153846154</v>
      </c>
    </row>
    <row r="13" customFormat="false" ht="15" hidden="false" customHeight="true" outlineLevel="0" collapsed="false">
      <c r="B13" s="42" t="s">
        <v>63</v>
      </c>
      <c r="C13" s="43" t="n">
        <f aca="false">SUMPRODUCT((MONTHLY_SUMMARY!B$3:B$30=B13)*(MONTHLY_SUMMARY!A$3:A$30=2024)*MONTHLY_SUMMARY!C$3:C$30)</f>
        <v>76894</v>
      </c>
      <c r="D13" s="43" t="n">
        <f aca="false">SUMPRODUCT((MONTHLY_SUMMARY!B$3:B$30=B13)*(MONTHLY_SUMMARY!A$3:A$30=2024)*MONTHLY_SUMMARY!D$3:D$30)</f>
        <v>16013</v>
      </c>
      <c r="E13" s="43" t="n">
        <f aca="false">SUMPRODUCT((MONTHLY_SUMMARY!B$3:B$30=B13)*(MONTHLY_SUMMARY!A$3:A$30=2024)*MONTHLY_SUMMARY!E$3:E$30)</f>
        <v>15000</v>
      </c>
      <c r="F13" s="44" t="n">
        <f aca="false">IF(C13&gt;0,E13/C13,0)</f>
        <v>0.195073737872916</v>
      </c>
    </row>
    <row r="14" customFormat="false" ht="15" hidden="false" customHeight="true" outlineLevel="0" collapsed="false">
      <c r="B14" s="42" t="s">
        <v>85</v>
      </c>
      <c r="C14" s="43" t="n">
        <f aca="false">SUMPRODUCT((MONTHLY_SUMMARY!B$3:B$30=B14)*(MONTHLY_SUMMARY!A$3:A$30=2024)*MONTHLY_SUMMARY!C$3:C$30)</f>
        <v>65000</v>
      </c>
      <c r="D14" s="43" t="n">
        <f aca="false">SUMPRODUCT((MONTHLY_SUMMARY!B$3:B$30=B14)*(MONTHLY_SUMMARY!A$3:A$30=2024)*MONTHLY_SUMMARY!D$3:D$30)</f>
        <v>19522</v>
      </c>
      <c r="E14" s="43" t="n">
        <f aca="false">SUMPRODUCT((MONTHLY_SUMMARY!B$3:B$30=B14)*(MONTHLY_SUMMARY!A$3:A$30=2024)*MONTHLY_SUMMARY!E$3:E$30)</f>
        <v>10000</v>
      </c>
      <c r="F14" s="44" t="n">
        <f aca="false">IF(C14&gt;0,E14/C14,0)</f>
        <v>0.153846153846154</v>
      </c>
    </row>
    <row r="15" customFormat="false" ht="15" hidden="false" customHeight="true" outlineLevel="0" collapsed="false">
      <c r="B15" s="42" t="s">
        <v>105</v>
      </c>
      <c r="C15" s="43" t="n">
        <f aca="false">SUMPRODUCT((MONTHLY_SUMMARY!B$3:B$30=B15)*(MONTHLY_SUMMARY!A$3:A$30=2024)*MONTHLY_SUMMARY!C$3:C$30)</f>
        <v>65000</v>
      </c>
      <c r="D15" s="43" t="n">
        <f aca="false">SUMPRODUCT((MONTHLY_SUMMARY!B$3:B$30=B15)*(MONTHLY_SUMMARY!A$3:A$30=2024)*MONTHLY_SUMMARY!D$3:D$30)</f>
        <v>28005</v>
      </c>
      <c r="E15" s="43" t="n">
        <f aca="false">SUMPRODUCT((MONTHLY_SUMMARY!B$3:B$30=B15)*(MONTHLY_SUMMARY!A$3:A$30=2024)*MONTHLY_SUMMARY!E$3:E$30)</f>
        <v>10000</v>
      </c>
      <c r="F15" s="44" t="n">
        <f aca="false">IF(C15&gt;0,E15/C15,0)</f>
        <v>0.153846153846154</v>
      </c>
    </row>
    <row r="16" customFormat="false" ht="15" hidden="false" customHeight="true" outlineLevel="0" collapsed="false">
      <c r="B16" s="42" t="s">
        <v>123</v>
      </c>
      <c r="C16" s="43" t="n">
        <f aca="false">SUMPRODUCT((MONTHLY_SUMMARY!B$3:B$30=B16)*(MONTHLY_SUMMARY!A$3:A$30=2024)*MONTHLY_SUMMARY!C$3:C$30)</f>
        <v>65000</v>
      </c>
      <c r="D16" s="43" t="n">
        <f aca="false">SUMPRODUCT((MONTHLY_SUMMARY!B$3:B$30=B16)*(MONTHLY_SUMMARY!A$3:A$30=2024)*MONTHLY_SUMMARY!D$3:D$30)</f>
        <v>21787</v>
      </c>
      <c r="E16" s="43" t="n">
        <f aca="false">SUMPRODUCT((MONTHLY_SUMMARY!B$3:B$30=B16)*(MONTHLY_SUMMARY!A$3:A$30=2024)*MONTHLY_SUMMARY!E$3:E$30)</f>
        <v>15000</v>
      </c>
      <c r="F16" s="44" t="n">
        <f aca="false">IF(C16&gt;0,E16/C16,0)</f>
        <v>0.230769230769231</v>
      </c>
    </row>
    <row r="17" customFormat="false" ht="15" hidden="false" customHeight="true" outlineLevel="0" collapsed="false">
      <c r="B17" s="42" t="s">
        <v>139</v>
      </c>
      <c r="C17" s="43" t="n">
        <f aca="false">SUMPRODUCT((MONTHLY_SUMMARY!B$3:B$30=B17)*(MONTHLY_SUMMARY!A$3:A$30=2024)*MONTHLY_SUMMARY!C$3:C$30)</f>
        <v>65000</v>
      </c>
      <c r="D17" s="43" t="n">
        <f aca="false">SUMPRODUCT((MONTHLY_SUMMARY!B$3:B$30=B17)*(MONTHLY_SUMMARY!A$3:A$30=2024)*MONTHLY_SUMMARY!D$3:D$30)</f>
        <v>6019</v>
      </c>
      <c r="E17" s="43" t="n">
        <f aca="false">SUMPRODUCT((MONTHLY_SUMMARY!B$3:B$30=B17)*(MONTHLY_SUMMARY!A$3:A$30=2024)*MONTHLY_SUMMARY!E$3:E$30)</f>
        <v>10000</v>
      </c>
      <c r="F17" s="44" t="n">
        <f aca="false">IF(C17&gt;0,E17/C17,0)</f>
        <v>0.153846153846154</v>
      </c>
    </row>
    <row r="18" customFormat="false" ht="15" hidden="false" customHeight="true" outlineLevel="0" collapsed="false">
      <c r="B18" s="42" t="s">
        <v>155</v>
      </c>
      <c r="C18" s="43" t="n">
        <f aca="false">SUMPRODUCT((MONTHLY_SUMMARY!B$3:B$30=B18)*(MONTHLY_SUMMARY!A$3:A$30=2024)*MONTHLY_SUMMARY!C$3:C$30)</f>
        <v>65000</v>
      </c>
      <c r="D18" s="43" t="n">
        <f aca="false">SUMPRODUCT((MONTHLY_SUMMARY!B$3:B$30=B18)*(MONTHLY_SUMMARY!A$3:A$30=2024)*MONTHLY_SUMMARY!D$3:D$30)</f>
        <v>8693</v>
      </c>
      <c r="E18" s="43" t="n">
        <f aca="false">SUMPRODUCT((MONTHLY_SUMMARY!B$3:B$30=B18)*(MONTHLY_SUMMARY!A$3:A$30=2024)*MONTHLY_SUMMARY!E$3:E$30)</f>
        <v>10000</v>
      </c>
      <c r="F18" s="44" t="n">
        <f aca="false">IF(C18&gt;0,E18/C18,0)</f>
        <v>0.153846153846154</v>
      </c>
    </row>
    <row r="19" customFormat="false" ht="15" hidden="false" customHeight="true" outlineLevel="0" collapsed="false">
      <c r="B19" s="42" t="s">
        <v>170</v>
      </c>
      <c r="C19" s="43" t="n">
        <f aca="false">SUMPRODUCT((MONTHLY_SUMMARY!B$3:B$30=B19)*(MONTHLY_SUMMARY!A$3:A$30=2024)*MONTHLY_SUMMARY!C$3:C$30)</f>
        <v>84241</v>
      </c>
      <c r="D19" s="43" t="n">
        <f aca="false">SUMPRODUCT((MONTHLY_SUMMARY!B$3:B$30=B19)*(MONTHLY_SUMMARY!A$3:A$30=2024)*MONTHLY_SUMMARY!D$3:D$30)</f>
        <v>9513</v>
      </c>
      <c r="E19" s="43" t="n">
        <f aca="false">SUMPRODUCT((MONTHLY_SUMMARY!B$3:B$30=B19)*(MONTHLY_SUMMARY!A$3:A$30=2024)*MONTHLY_SUMMARY!E$3:E$30)</f>
        <v>15000</v>
      </c>
      <c r="F19" s="44" t="n">
        <f aca="false">IF(C19&gt;0,E19/C19,0)</f>
        <v>0.178060564333282</v>
      </c>
    </row>
    <row r="20" customFormat="false" ht="15" hidden="false" customHeight="true" outlineLevel="0" collapsed="false">
      <c r="B20" s="42" t="s">
        <v>188</v>
      </c>
      <c r="C20" s="43" t="n">
        <f aca="false">SUMPRODUCT((MONTHLY_SUMMARY!B$3:B$30=B20)*(MONTHLY_SUMMARY!A$3:A$30=2024)*MONTHLY_SUMMARY!C$3:C$30)</f>
        <v>80276</v>
      </c>
      <c r="D20" s="43" t="n">
        <f aca="false">SUMPRODUCT((MONTHLY_SUMMARY!B$3:B$30=B20)*(MONTHLY_SUMMARY!A$3:A$30=2024)*MONTHLY_SUMMARY!D$3:D$30)</f>
        <v>11565</v>
      </c>
      <c r="E20" s="43" t="n">
        <f aca="false">SUMPRODUCT((MONTHLY_SUMMARY!B$3:B$30=B20)*(MONTHLY_SUMMARY!A$3:A$30=2024)*MONTHLY_SUMMARY!E$3:E$30)</f>
        <v>10000</v>
      </c>
      <c r="F20" s="44" t="n">
        <f aca="false">IF(C20&gt;0,E20/C20,0)</f>
        <v>0.124570232697195</v>
      </c>
    </row>
    <row r="21" customFormat="false" ht="15" hidden="false" customHeight="true" outlineLevel="0" collapsed="false">
      <c r="B21" s="42" t="s">
        <v>202</v>
      </c>
      <c r="C21" s="43" t="n">
        <f aca="false">SUMPRODUCT((MONTHLY_SUMMARY!B$3:B$30=B21)*(MONTHLY_SUMMARY!A$3:A$30=2024)*MONTHLY_SUMMARY!C$3:C$30)</f>
        <v>65000</v>
      </c>
      <c r="D21" s="43" t="n">
        <f aca="false">SUMPRODUCT((MONTHLY_SUMMARY!B$3:B$30=B21)*(MONTHLY_SUMMARY!A$3:A$30=2024)*MONTHLY_SUMMARY!D$3:D$30)</f>
        <v>25930</v>
      </c>
      <c r="E21" s="43" t="n">
        <f aca="false">SUMPRODUCT((MONTHLY_SUMMARY!B$3:B$30=B21)*(MONTHLY_SUMMARY!A$3:A$30=2024)*MONTHLY_SUMMARY!E$3:E$30)</f>
        <v>10000</v>
      </c>
      <c r="F21" s="44" t="n">
        <f aca="false">IF(C21&gt;0,E21/C21,0)</f>
        <v>0.153846153846154</v>
      </c>
    </row>
    <row r="22" customFormat="false" ht="15" hidden="false" customHeight="true" outlineLevel="0" collapsed="false">
      <c r="B22" s="42" t="s">
        <v>216</v>
      </c>
      <c r="C22" s="43" t="n">
        <f aca="false">SUMPRODUCT((MONTHLY_SUMMARY!B$3:B$30=B22)*(MONTHLY_SUMMARY!A$3:A$30=2024)*MONTHLY_SUMMARY!C$3:C$30)</f>
        <v>65000</v>
      </c>
      <c r="D22" s="43" t="n">
        <f aca="false">SUMPRODUCT((MONTHLY_SUMMARY!B$3:B$30=B22)*(MONTHLY_SUMMARY!A$3:A$30=2024)*MONTHLY_SUMMARY!D$3:D$30)</f>
        <v>18370</v>
      </c>
      <c r="E22" s="43" t="n">
        <f aca="false">SUMPRODUCT((MONTHLY_SUMMARY!B$3:B$30=B22)*(MONTHLY_SUMMARY!A$3:A$30=2024)*MONTHLY_SUMMARY!E$3:E$30)</f>
        <v>15000</v>
      </c>
      <c r="F22" s="44" t="n">
        <f aca="false">IF(C22&gt;0,E22/C22,0)</f>
        <v>0.230769230769231</v>
      </c>
    </row>
    <row r="40" customFormat="false" ht="21.75" hidden="false" customHeight="true" outlineLevel="0" collapsed="false">
      <c r="B40" s="40" t="s">
        <v>437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customFormat="false" ht="15" hidden="false" customHeight="true" outlineLevel="0" collapsed="false">
      <c r="B41" s="45" t="s">
        <v>4</v>
      </c>
      <c r="C41" s="45" t="s">
        <v>438</v>
      </c>
      <c r="D41" s="45" t="s">
        <v>439</v>
      </c>
      <c r="E41" s="45" t="s">
        <v>440</v>
      </c>
    </row>
    <row r="42" customFormat="false" ht="15" hidden="false" customHeight="true" outlineLevel="0" collapsed="false">
      <c r="B42" s="46" t="s">
        <v>29</v>
      </c>
      <c r="C42" s="47" t="n">
        <f aca="false">SUMPRODUCT((RAW_DATA!C$2:C$5000=2024)*(RAW_DATA!D$2:D$5000="Expense")*(RAW_DATA!E$2:E$5000=B42)*RAW_DATA!H$2:H$5000)</f>
        <v>92061</v>
      </c>
      <c r="D42" s="15" t="n">
        <f aca="false">IF(SUM(C42:C49)&gt;0,C42/SUM(C$42:C$49),0)</f>
        <v>0.443733762634418</v>
      </c>
      <c r="E42" s="15" t="n">
        <f aca="false">IFERROR((C42-SUMPRODUCT((RAW_DATA!C$2:C$5000=2023)*(RAW_DATA!D$2:D$5000="Expense")*(RAW_DATA!E$2:E$5000=B42)*RAW_DATA!H$2:H$5000))/SUMPRODUCT((RAW_DATA!C$2:C$5000=2023)*(RAW_DATA!D$2:D$5000="Expense")*(RAW_DATA!E$2:E$5000=B42)*RAW_DATA!H$2:H$5000),0)</f>
        <v>-0.0641449207591668</v>
      </c>
    </row>
    <row r="43" customFormat="false" ht="15" hidden="false" customHeight="true" outlineLevel="0" collapsed="false">
      <c r="B43" s="48" t="s">
        <v>33</v>
      </c>
      <c r="C43" s="49" t="n">
        <f aca="false">SUMPRODUCT((RAW_DATA!C$2:C$5000=2024)*(RAW_DATA!D$2:D$5000="Expense")*(RAW_DATA!E$2:E$5000=B43)*RAW_DATA!H$2:H$5000)</f>
        <v>34244</v>
      </c>
      <c r="D43" s="12" t="n">
        <f aca="false">IF(SUM(C42:C49)&gt;0,C43/SUM(C$42:C$49),0)</f>
        <v>0.165055984267529</v>
      </c>
      <c r="E43" s="12" t="n">
        <f aca="false">IFERROR((C43-SUMPRODUCT((RAW_DATA!C$2:C$5000=2023)*(RAW_DATA!D$2:D$5000="Expense")*(RAW_DATA!E$2:E$5000=B43)*RAW_DATA!H$2:H$5000))/SUMPRODUCT((RAW_DATA!C$2:C$5000=2023)*(RAW_DATA!D$2:D$5000="Expense")*(RAW_DATA!E$2:E$5000=B43)*RAW_DATA!H$2:H$5000),0)</f>
        <v>-0.0108322019700165</v>
      </c>
    </row>
    <row r="44" customFormat="false" ht="15" hidden="false" customHeight="true" outlineLevel="0" collapsed="false">
      <c r="B44" s="46" t="s">
        <v>57</v>
      </c>
      <c r="C44" s="47" t="n">
        <f aca="false">SUMPRODUCT((RAW_DATA!C$2:C$5000=2024)*(RAW_DATA!D$2:D$5000="Expense")*(RAW_DATA!E$2:E$5000=B44)*RAW_DATA!H$2:H$5000)</f>
        <v>14222</v>
      </c>
      <c r="D44" s="15" t="n">
        <f aca="false">IF(SUM(C42:C49)&gt;0,C44/SUM(C$42:C$49),0)</f>
        <v>0.0685500002409999</v>
      </c>
      <c r="E44" s="15" t="n">
        <f aca="false">IFERROR((C44-SUMPRODUCT((RAW_DATA!C$2:C$5000=2023)*(RAW_DATA!D$2:D$5000="Expense")*(RAW_DATA!E$2:E$5000=B44)*RAW_DATA!H$2:H$5000))/SUMPRODUCT((RAW_DATA!C$2:C$5000=2023)*(RAW_DATA!D$2:D$5000="Expense")*(RAW_DATA!E$2:E$5000=B44)*RAW_DATA!H$2:H$5000),0)</f>
        <v>0.383463035019455</v>
      </c>
    </row>
    <row r="45" customFormat="false" ht="15" hidden="false" customHeight="true" outlineLevel="0" collapsed="false">
      <c r="B45" s="48" t="s">
        <v>179</v>
      </c>
      <c r="C45" s="49" t="n">
        <f aca="false">SUMPRODUCT((RAW_DATA!C$2:C$5000=2024)*(RAW_DATA!D$2:D$5000="Expense")*(RAW_DATA!E$2:E$5000=B45)*RAW_DATA!H$2:H$5000)</f>
        <v>14002</v>
      </c>
      <c r="D45" s="12" t="n">
        <f aca="false">IF(SUM(C42:C49)&gt;0,C45/SUM(C$42:C$49),0)</f>
        <v>0.0674896008560315</v>
      </c>
      <c r="E45" s="12" t="n">
        <f aca="false">IFERROR((C45-SUMPRODUCT((RAW_DATA!C$2:C$5000=2023)*(RAW_DATA!D$2:D$5000="Expense")*(RAW_DATA!E$2:E$5000=B45)*RAW_DATA!H$2:H$5000))/SUMPRODUCT((RAW_DATA!C$2:C$5000=2023)*(RAW_DATA!D$2:D$5000="Expense")*(RAW_DATA!E$2:E$5000=B45)*RAW_DATA!H$2:H$5000),0)</f>
        <v>1.7942526441828</v>
      </c>
    </row>
    <row r="46" customFormat="false" ht="15" hidden="false" customHeight="true" outlineLevel="0" collapsed="false">
      <c r="B46" s="46" t="s">
        <v>37</v>
      </c>
      <c r="C46" s="47" t="n">
        <f aca="false">SUMPRODUCT((RAW_DATA!C$2:C$5000=2024)*(RAW_DATA!D$2:D$5000="Expense")*(RAW_DATA!E$2:E$5000=B46)*RAW_DATA!H$2:H$5000)</f>
        <v>22551</v>
      </c>
      <c r="D46" s="15" t="n">
        <f aca="false">IF(SUM(C42:C49)&gt;0,C46/SUM(C$42:C$49),0)</f>
        <v>0.108695756956461</v>
      </c>
      <c r="E46" s="15" t="n">
        <f aca="false">IFERROR((C46-SUMPRODUCT((RAW_DATA!C$2:C$5000=2023)*(RAW_DATA!D$2:D$5000="Expense")*(RAW_DATA!E$2:E$5000=B46)*RAW_DATA!H$2:H$5000))/SUMPRODUCT((RAW_DATA!C$2:C$5000=2023)*(RAW_DATA!D$2:D$5000="Expense")*(RAW_DATA!E$2:E$5000=B46)*RAW_DATA!H$2:H$5000),0)</f>
        <v>-0.0994728855522722</v>
      </c>
    </row>
    <row r="47" customFormat="false" ht="15" hidden="false" customHeight="true" outlineLevel="0" collapsed="false">
      <c r="B47" s="48" t="s">
        <v>40</v>
      </c>
      <c r="C47" s="49" t="n">
        <f aca="false">SUMPRODUCT((RAW_DATA!C$2:C$5000=2024)*(RAW_DATA!D$2:D$5000="Expense")*(RAW_DATA!E$2:E$5000=B47)*RAW_DATA!H$2:H$5000)</f>
        <v>5875</v>
      </c>
      <c r="D47" s="12" t="n">
        <f aca="false">IF(SUM(C42:C49)&gt;0,C47/SUM(C$42:C$49),0)</f>
        <v>0.0283174835758595</v>
      </c>
      <c r="E47" s="12" t="n">
        <f aca="false">IFERROR((C47-SUMPRODUCT((RAW_DATA!C$2:C$5000=2023)*(RAW_DATA!D$2:D$5000="Expense")*(RAW_DATA!E$2:E$5000=B47)*RAW_DATA!H$2:H$5000))/SUMPRODUCT((RAW_DATA!C$2:C$5000=2023)*(RAW_DATA!D$2:D$5000="Expense")*(RAW_DATA!E$2:E$5000=B47)*RAW_DATA!H$2:H$5000),0)</f>
        <v>-0.345695511749638</v>
      </c>
    </row>
    <row r="48" customFormat="false" ht="15" hidden="false" customHeight="true" outlineLevel="0" collapsed="false">
      <c r="B48" s="46" t="s">
        <v>43</v>
      </c>
      <c r="C48" s="47" t="n">
        <f aca="false">SUMPRODUCT((RAW_DATA!C$2:C$5000=2024)*(RAW_DATA!D$2:D$5000="Expense")*(RAW_DATA!E$2:E$5000=B48)*RAW_DATA!H$2:H$5000)</f>
        <v>17834</v>
      </c>
      <c r="D48" s="15" t="n">
        <f aca="false">IF(SUM(C42:C49)&gt;0,C48/SUM(C$42:C$49),0)</f>
        <v>0.0859598301432985</v>
      </c>
      <c r="E48" s="15" t="n">
        <f aca="false">IFERROR((C48-SUMPRODUCT((RAW_DATA!C$2:C$5000=2023)*(RAW_DATA!D$2:D$5000="Expense")*(RAW_DATA!E$2:E$5000=B48)*RAW_DATA!H$2:H$5000))/SUMPRODUCT((RAW_DATA!C$2:C$5000=2023)*(RAW_DATA!D$2:D$5000="Expense")*(RAW_DATA!E$2:E$5000=B48)*RAW_DATA!H$2:H$5000),0)</f>
        <v>0.192191991443278</v>
      </c>
    </row>
    <row r="49" customFormat="false" ht="15" hidden="false" customHeight="true" outlineLevel="0" collapsed="false">
      <c r="B49" s="48" t="s">
        <v>101</v>
      </c>
      <c r="C49" s="49" t="n">
        <f aca="false">SUMPRODUCT((RAW_DATA!C$2:C$5000=2024)*(RAW_DATA!D$2:D$5000="Expense")*(RAW_DATA!E$2:E$5000=B49)*RAW_DATA!H$2:H$5000)</f>
        <v>6680</v>
      </c>
      <c r="D49" s="12" t="n">
        <f aca="false">IF(SUM(C42:C49)&gt;0,C49/SUM(C$42:C$49),0)</f>
        <v>0.0321975813254028</v>
      </c>
      <c r="E49" s="12" t="n">
        <f aca="false">IFERROR((C49-SUMPRODUCT((RAW_DATA!C$2:C$5000=2023)*(RAW_DATA!D$2:D$5000="Expense")*(RAW_DATA!E$2:E$5000=B49)*RAW_DATA!H$2:H$5000))/SUMPRODUCT((RAW_DATA!C$2:C$5000=2023)*(RAW_DATA!D$2:D$5000="Expense")*(RAW_DATA!E$2:E$5000=B49)*RAW_DATA!H$2:H$5000),0)</f>
        <v>0.0471860793227779</v>
      </c>
    </row>
  </sheetData>
  <mergeCells count="19">
    <mergeCell ref="B2:N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B7:C7"/>
    <mergeCell ref="E7:F7"/>
    <mergeCell ref="H7:I7"/>
    <mergeCell ref="K7:L7"/>
    <mergeCell ref="B9:N9"/>
    <mergeCell ref="B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F3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6" min="3" style="1" width="42"/>
  </cols>
  <sheetData>
    <row r="1" customFormat="false" ht="31.5" hidden="false" customHeight="true" outlineLevel="0" collapsed="false">
      <c r="A1" s="9" t="s">
        <v>441</v>
      </c>
      <c r="B1" s="9"/>
      <c r="C1" s="9"/>
      <c r="D1" s="9"/>
      <c r="E1" s="9"/>
      <c r="F1" s="9"/>
    </row>
    <row r="3" customFormat="false" ht="19.5" hidden="false" customHeight="true" outlineLevel="0" collapsed="false">
      <c r="A3" s="50" t="s">
        <v>442</v>
      </c>
      <c r="B3" s="50"/>
      <c r="C3" s="50"/>
      <c r="D3" s="50"/>
      <c r="E3" s="50"/>
      <c r="F3" s="50"/>
    </row>
    <row r="4" customFormat="false" ht="15" hidden="false" customHeight="true" outlineLevel="0" collapsed="false">
      <c r="A4" s="10" t="s">
        <v>443</v>
      </c>
      <c r="B4" s="10" t="s">
        <v>444</v>
      </c>
      <c r="C4" s="10" t="s">
        <v>445</v>
      </c>
    </row>
    <row r="5" customFormat="false" ht="15" hidden="false" customHeight="true" outlineLevel="0" collapsed="false">
      <c r="A5" s="6" t="s">
        <v>446</v>
      </c>
      <c r="B5" s="6" t="s">
        <v>447</v>
      </c>
      <c r="C5" s="6" t="s">
        <v>448</v>
      </c>
    </row>
    <row r="6" customFormat="false" ht="15" hidden="false" customHeight="true" outlineLevel="0" collapsed="false">
      <c r="A6" s="3" t="s">
        <v>449</v>
      </c>
      <c r="B6" s="3" t="s">
        <v>450</v>
      </c>
      <c r="C6" s="3" t="s">
        <v>451</v>
      </c>
    </row>
    <row r="7" customFormat="false" ht="15" hidden="false" customHeight="true" outlineLevel="0" collapsed="false">
      <c r="A7" s="6" t="s">
        <v>452</v>
      </c>
      <c r="B7" s="6" t="s">
        <v>453</v>
      </c>
      <c r="C7" s="6" t="s">
        <v>454</v>
      </c>
    </row>
    <row r="8" customFormat="false" ht="15" hidden="false" customHeight="true" outlineLevel="0" collapsed="false">
      <c r="A8" s="3" t="s">
        <v>455</v>
      </c>
      <c r="B8" s="3" t="s">
        <v>456</v>
      </c>
      <c r="C8" s="3" t="s">
        <v>457</v>
      </c>
    </row>
    <row r="9" customFormat="false" ht="15" hidden="false" customHeight="true" outlineLevel="0" collapsed="false">
      <c r="A9" s="6" t="s">
        <v>458</v>
      </c>
      <c r="B9" s="6" t="s">
        <v>459</v>
      </c>
      <c r="C9" s="6" t="s">
        <v>460</v>
      </c>
    </row>
    <row r="10" customFormat="false" ht="15" hidden="false" customHeight="true" outlineLevel="0" collapsed="false">
      <c r="A10" s="3" t="s">
        <v>461</v>
      </c>
      <c r="B10" s="3" t="s">
        <v>462</v>
      </c>
      <c r="C10" s="3" t="s">
        <v>463</v>
      </c>
    </row>
    <row r="12" customFormat="false" ht="19.5" hidden="false" customHeight="true" outlineLevel="0" collapsed="false">
      <c r="A12" s="50" t="s">
        <v>464</v>
      </c>
      <c r="B12" s="50"/>
      <c r="C12" s="50"/>
      <c r="D12" s="50"/>
      <c r="E12" s="50"/>
      <c r="F12" s="50"/>
    </row>
    <row r="13" customFormat="false" ht="15" hidden="false" customHeight="true" outlineLevel="0" collapsed="false">
      <c r="A13" s="10" t="s">
        <v>465</v>
      </c>
      <c r="B13" s="10" t="s">
        <v>466</v>
      </c>
    </row>
    <row r="14" customFormat="false" ht="15" hidden="false" customHeight="true" outlineLevel="0" collapsed="false">
      <c r="A14" s="3" t="s">
        <v>467</v>
      </c>
      <c r="B14" s="3" t="s">
        <v>468</v>
      </c>
    </row>
    <row r="15" customFormat="false" ht="15" hidden="false" customHeight="true" outlineLevel="0" collapsed="false">
      <c r="A15" s="6" t="s">
        <v>469</v>
      </c>
      <c r="B15" s="6" t="s">
        <v>470</v>
      </c>
    </row>
    <row r="16" customFormat="false" ht="15" hidden="false" customHeight="true" outlineLevel="0" collapsed="false">
      <c r="A16" s="3" t="s">
        <v>471</v>
      </c>
      <c r="B16" s="3" t="s">
        <v>472</v>
      </c>
    </row>
    <row r="17" customFormat="false" ht="15" hidden="false" customHeight="true" outlineLevel="0" collapsed="false">
      <c r="A17" s="6" t="s">
        <v>473</v>
      </c>
      <c r="B17" s="6" t="s">
        <v>474</v>
      </c>
    </row>
    <row r="19" customFormat="false" ht="19.5" hidden="false" customHeight="true" outlineLevel="0" collapsed="false">
      <c r="A19" s="50" t="s">
        <v>475</v>
      </c>
      <c r="B19" s="50"/>
      <c r="C19" s="50"/>
      <c r="D19" s="50"/>
      <c r="E19" s="50"/>
      <c r="F19" s="50"/>
    </row>
    <row r="20" customFormat="false" ht="15" hidden="false" customHeight="true" outlineLevel="0" collapsed="false">
      <c r="A20" s="10" t="s">
        <v>476</v>
      </c>
      <c r="B20" s="10" t="s">
        <v>444</v>
      </c>
      <c r="C20" s="10" t="s">
        <v>477</v>
      </c>
    </row>
    <row r="21" customFormat="false" ht="15" hidden="false" customHeight="true" outlineLevel="0" collapsed="false">
      <c r="A21" s="6" t="s">
        <v>478</v>
      </c>
      <c r="B21" s="6" t="s">
        <v>479</v>
      </c>
      <c r="C21" s="6" t="s">
        <v>480</v>
      </c>
    </row>
    <row r="22" customFormat="false" ht="15" hidden="false" customHeight="true" outlineLevel="0" collapsed="false">
      <c r="A22" s="3" t="s">
        <v>481</v>
      </c>
      <c r="B22" s="3" t="s">
        <v>482</v>
      </c>
      <c r="C22" s="3" t="s">
        <v>483</v>
      </c>
    </row>
    <row r="23" customFormat="false" ht="15" hidden="false" customHeight="true" outlineLevel="0" collapsed="false">
      <c r="A23" s="6" t="s">
        <v>484</v>
      </c>
      <c r="B23" s="6" t="s">
        <v>485</v>
      </c>
      <c r="C23" s="6" t="s">
        <v>486</v>
      </c>
    </row>
    <row r="24" customFormat="false" ht="15" hidden="false" customHeight="true" outlineLevel="0" collapsed="false">
      <c r="A24" s="3" t="s">
        <v>487</v>
      </c>
      <c r="B24" s="3" t="s">
        <v>488</v>
      </c>
      <c r="C24" s="3" t="s">
        <v>489</v>
      </c>
    </row>
    <row r="25" customFormat="false" ht="15" hidden="false" customHeight="true" outlineLevel="0" collapsed="false">
      <c r="A25" s="6" t="s">
        <v>490</v>
      </c>
      <c r="B25" s="6" t="s">
        <v>491</v>
      </c>
      <c r="C25" s="6" t="s">
        <v>492</v>
      </c>
    </row>
    <row r="27" customFormat="false" ht="19.5" hidden="false" customHeight="true" outlineLevel="0" collapsed="false">
      <c r="A27" s="50" t="s">
        <v>493</v>
      </c>
      <c r="B27" s="50"/>
      <c r="C27" s="50"/>
      <c r="D27" s="50"/>
      <c r="E27" s="50"/>
      <c r="F27" s="50"/>
    </row>
    <row r="28" customFormat="false" ht="15" hidden="false" customHeight="true" outlineLevel="0" collapsed="false">
      <c r="A28" s="10" t="s">
        <v>494</v>
      </c>
      <c r="B28" s="10" t="s">
        <v>495</v>
      </c>
    </row>
    <row r="29" customFormat="false" ht="15" hidden="false" customHeight="true" outlineLevel="0" collapsed="false">
      <c r="A29" s="6" t="s">
        <v>496</v>
      </c>
      <c r="B29" s="6" t="s">
        <v>497</v>
      </c>
    </row>
    <row r="30" customFormat="false" ht="15" hidden="false" customHeight="true" outlineLevel="0" collapsed="false">
      <c r="A30" s="3" t="s">
        <v>498</v>
      </c>
      <c r="B30" s="3" t="s">
        <v>499</v>
      </c>
    </row>
    <row r="31" customFormat="false" ht="15" hidden="false" customHeight="true" outlineLevel="0" collapsed="false">
      <c r="A31" s="6" t="s">
        <v>500</v>
      </c>
      <c r="B31" s="6" t="s">
        <v>501</v>
      </c>
    </row>
    <row r="32" customFormat="false" ht="15" hidden="false" customHeight="true" outlineLevel="0" collapsed="false">
      <c r="A32" s="3" t="s">
        <v>502</v>
      </c>
      <c r="B32" s="3" t="s">
        <v>503</v>
      </c>
    </row>
    <row r="33" customFormat="false" ht="15" hidden="false" customHeight="true" outlineLevel="0" collapsed="false">
      <c r="A33" s="6" t="s">
        <v>504</v>
      </c>
      <c r="B33" s="6" t="s">
        <v>505</v>
      </c>
    </row>
    <row r="35" customFormat="false" ht="19.5" hidden="false" customHeight="true" outlineLevel="0" collapsed="false">
      <c r="A35" s="50" t="s">
        <v>506</v>
      </c>
      <c r="B35" s="50"/>
      <c r="C35" s="50"/>
      <c r="D35" s="50"/>
      <c r="E35" s="50"/>
      <c r="F35" s="50"/>
    </row>
    <row r="36" customFormat="false" ht="15" hidden="false" customHeight="true" outlineLevel="0" collapsed="false">
      <c r="A36" s="10" t="s">
        <v>507</v>
      </c>
      <c r="B36" s="10" t="s">
        <v>508</v>
      </c>
    </row>
    <row r="37" customFormat="false" ht="15" hidden="false" customHeight="true" outlineLevel="0" collapsed="false">
      <c r="A37" s="6" t="s">
        <v>509</v>
      </c>
      <c r="B37" s="6" t="s">
        <v>510</v>
      </c>
    </row>
    <row r="38" customFormat="false" ht="15" hidden="false" customHeight="true" outlineLevel="0" collapsed="false">
      <c r="A38" s="3" t="s">
        <v>511</v>
      </c>
      <c r="B38" s="3" t="s">
        <v>512</v>
      </c>
    </row>
    <row r="39" customFormat="false" ht="15" hidden="false" customHeight="true" outlineLevel="0" collapsed="false">
      <c r="A39" s="6" t="s">
        <v>513</v>
      </c>
      <c r="B39" s="6" t="s">
        <v>514</v>
      </c>
    </row>
  </sheetData>
  <mergeCells count="6">
    <mergeCell ref="A1:F1"/>
    <mergeCell ref="A3:F3"/>
    <mergeCell ref="A12:F12"/>
    <mergeCell ref="A19:F19"/>
    <mergeCell ref="A27:F27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2026-03-22T17:25:40Z</dcterms:created>
  <dc:creator>openpyxl</dc:creator>
  <dc:description/>
  <dc:language>en-US</dc:language>
  <cp:lastModifiedBy/>
  <dcterms:modified xsi:type="dcterms:W3CDTF">2026-03-22T17:26:06Z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